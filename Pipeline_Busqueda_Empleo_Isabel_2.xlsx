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0" activeTab="1" autoFilterDateGrouping="1"/>
  </bookViews>
  <sheets>
    <sheet name="Instrucciones" sheetId="1" state="visible" r:id="rId1"/>
    <sheet name="Pipeline" sheetId="2" state="visible" r:id="rId2"/>
    <sheet name="Dashboard" sheetId="3" state="visible" r:id="rId3"/>
    <sheet name="Seguimiento semanal" sheetId="4" state="visible" r:id="rId4"/>
  </sheets>
  <definedNames>
    <definedName name="_xlnm._FilterDatabase" localSheetId="1" hidden="1">'Pipeline'!$A$1:$J$103</definedName>
  </definedNames>
  <calcPr calcId="191028" fullCalcOnLoad="1" iterateDelta="0.0001"/>
</workbook>
</file>

<file path=xl/styles.xml><?xml version="1.0" encoding="utf-8"?>
<styleSheet xmlns="http://schemas.openxmlformats.org/spreadsheetml/2006/main">
  <numFmts count="0"/>
  <fonts count="12">
    <font>
      <name val="Calibri"/>
      <charset val="1"/>
      <family val="2"/>
      <color theme="1"/>
      <sz val="11"/>
    </font>
    <font>
      <name val="Arial"/>
      <charset val="1"/>
      <b val="1"/>
      <color rgb="FF1F3864"/>
      <sz val="16"/>
    </font>
    <font>
      <name val="Arial"/>
      <charset val="1"/>
      <i val="1"/>
      <color rgb="FF808080"/>
      <sz val="10"/>
    </font>
    <font>
      <name val="Arial"/>
      <charset val="1"/>
      <b val="1"/>
      <color rgb="FF2E5395"/>
      <sz val="12"/>
    </font>
    <font>
      <name val="Arial"/>
      <charset val="1"/>
      <sz val="10"/>
    </font>
    <font>
      <name val="Arial"/>
      <charset val="1"/>
      <b val="1"/>
      <color rgb="FFFFFFFF"/>
      <sz val="11"/>
    </font>
    <font>
      <name val="Arial"/>
      <charset val="1"/>
      <b val="1"/>
      <color rgb="FF7F5F00"/>
      <sz val="10"/>
    </font>
    <font>
      <name val="Arial"/>
      <charset val="1"/>
      <b val="1"/>
      <color rgb="FF1F3864"/>
      <sz val="10"/>
    </font>
    <font>
      <name val="Arial"/>
      <charset val="1"/>
      <b val="1"/>
      <color rgb="FF375623"/>
      <sz val="10"/>
    </font>
    <font>
      <name val="Arial"/>
      <charset val="1"/>
      <b val="1"/>
      <color rgb="FF404040"/>
      <sz val="10"/>
    </font>
    <font>
      <name val="Arial"/>
      <charset val="1"/>
      <b val="1"/>
      <color rgb="FF833C00"/>
      <sz val="10"/>
    </font>
    <font>
      <name val="Arial"/>
      <charset val="1"/>
      <b val="1"/>
      <sz val="10"/>
    </font>
  </fonts>
  <fills count="10">
    <fill>
      <patternFill/>
    </fill>
    <fill>
      <patternFill patternType="gray125"/>
    </fill>
    <fill>
      <patternFill patternType="solid">
        <fgColor rgb="FF1F3864"/>
        <bgColor rgb="FF404040"/>
      </patternFill>
    </fill>
    <fill>
      <patternFill patternType="solid">
        <fgColor rgb="FFFFC000"/>
        <bgColor rgb="FFFF9900"/>
      </patternFill>
    </fill>
    <fill>
      <patternFill patternType="solid">
        <fgColor rgb="FF9DC3E6"/>
        <bgColor rgb="FFBFBFBF"/>
      </patternFill>
    </fill>
    <fill>
      <patternFill patternType="solid">
        <fgColor rgb="FFA9D08E"/>
        <bgColor rgb="FFBFBFBF"/>
      </patternFill>
    </fill>
    <fill>
      <patternFill patternType="solid">
        <fgColor rgb="FFD9D9D9"/>
        <bgColor rgb="FFD9E2F3"/>
      </patternFill>
    </fill>
    <fill>
      <patternFill patternType="solid">
        <fgColor rgb="FFF4B183"/>
        <bgColor rgb="FFF4CCCC"/>
      </patternFill>
    </fill>
    <fill>
      <patternFill patternType="solid">
        <fgColor rgb="FFD9E2F3"/>
        <bgColor rgb="FFD9D9D9"/>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8" borderId="0" pivotButton="0" quotePrefix="0" xfId="0"/>
    <xf numFmtId="0" fontId="11" fillId="9" borderId="0" pivotButton="0" quotePrefix="0" xfId="0"/>
    <xf numFmtId="0" fontId="4" fillId="0" borderId="1" pivotButton="0" quotePrefix="0" xfId="0"/>
    <xf numFmtId="0" fontId="11" fillId="0" borderId="1" pivotButton="0" quotePrefix="0" xfId="0"/>
    <xf numFmtId="0" fontId="11" fillId="0" borderId="1" applyAlignment="1" pivotButton="0" quotePrefix="0" xfId="0">
      <alignment horizontal="center" vertical="center" wrapText="1"/>
    </xf>
  </cellXfs>
  <cellStyles count="1">
    <cellStyle name="Normal" xfId="0" builtinId="0"/>
  </cellStyles>
  <dxfs count="7">
    <dxf>
      <fill>
        <patternFill>
          <bgColor rgb="FFA9D08E"/>
        </patternFill>
      </fill>
    </dxf>
    <dxf>
      <fill>
        <patternFill>
          <bgColor rgb="FFF4CCCC"/>
        </patternFill>
      </fill>
    </dxf>
    <dxf>
      <fill>
        <patternFill>
          <bgColor rgb="FFFFD966"/>
        </patternFill>
      </fill>
    </dxf>
    <dxf>
      <fill>
        <patternFill>
          <bgColor rgb="FFBDD7EE"/>
        </patternFill>
      </fill>
    </dxf>
    <dxf>
      <fill>
        <patternFill>
          <bgColor rgb="FF9DC3E6"/>
        </patternFill>
      </fill>
    </dxf>
    <dxf>
      <fill>
        <patternFill>
          <bgColor rgb="FFFFF2CC"/>
        </patternFill>
      </fill>
    </dxf>
    <dxf>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5F00"/>
      <rgbColor rgb="FF800080"/>
      <rgbColor rgb="FF008080"/>
      <rgbColor rgb="FFBFBFBF"/>
      <rgbColor rgb="FF808080"/>
      <rgbColor rgb="FF9999FF"/>
      <rgbColor rgb="FF993366"/>
      <rgbColor rgb="FFFFF2CC"/>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D966"/>
      <rgbColor rgb="FF9DC3E6"/>
      <rgbColor rgb="FFF4B183"/>
      <rgbColor rgb="FFCC99FF"/>
      <rgbColor rgb="FFF4CCCC"/>
      <rgbColor rgb="FF3366FF"/>
      <rgbColor rgb="FF33CCCC"/>
      <rgbColor rgb="FF99CC00"/>
      <rgbColor rgb="FFFFC000"/>
      <rgbColor rgb="FFFF9900"/>
      <rgbColor rgb="FFFF6600"/>
      <rgbColor rgb="FF666699"/>
      <rgbColor rgb="FFA9D08E"/>
      <rgbColor rgb="FF1F3864"/>
      <rgbColor rgb="FF339966"/>
      <rgbColor rgb="FF003300"/>
      <rgbColor rgb="FF375623"/>
      <rgbColor rgb="FF833C00"/>
      <rgbColor rgb="FF993366"/>
      <rgbColor rgb="FF2E5395"/>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7"/>
  <sheetViews>
    <sheetView showGridLines="0" topLeftCell="A2" zoomScaleNormal="100" workbookViewId="0">
      <selection activeCell="A1" sqref="A1"/>
    </sheetView>
  </sheetViews>
  <sheetFormatPr baseColWidth="8" defaultColWidth="8.7421875" defaultRowHeight="15"/>
  <cols>
    <col width="4.03515625" customWidth="1" min="1" max="1"/>
    <col width="99.94921875" customWidth="1" min="2" max="2"/>
  </cols>
  <sheetData>
    <row r="2" ht="20.25" customHeight="1">
      <c r="B2" s="1" t="inlineStr">
        <is>
          <t>Pipeline de búsqueda de empleo — Clinical Research &amp; Study Coordination</t>
        </is>
      </c>
    </row>
    <row r="3">
      <c r="B3" s="2" t="inlineStr">
        <is>
          <t>Isabel · Zaragoza (Aragón) · 6 meses de experiencia en Clinical Research / Study Coordination · Ampliado a Navarra, País Vasco, La Rioja (Logroño) y Comunitat Valenciana</t>
        </is>
      </c>
    </row>
    <row r="5">
      <c r="B5" s="3" t="inlineStr">
        <is>
          <t>Cómo usar este archivo</t>
        </is>
      </c>
    </row>
    <row r="6" ht="30" customHeight="1">
      <c r="B6" s="4" t="inlineStr">
        <is>
          <t>•  1. Ve a la pestaña 'Pipeline' — ahí tienes ~100 empresas, fundaciones, hospitales e institutos reales de Aragón, Navarra, País Vasco, La Rioja y la Comunitat Valenciana, además de los de cobertura nacional, clasificados por prioridad (1 = mejor encaje con tu perfil actual, 5 = puestos puente).</t>
        </is>
      </c>
    </row>
    <row r="7" ht="30" customHeight="1">
      <c r="B7" s="4" t="inlineStr">
        <is>
          <t>•  2. Cada semana, añade 5 empresas nuevas si se te ocurren (deja el formato de las columnas igual) y actualiza el 'Estado' de las que ya tienes en marcha.</t>
        </is>
      </c>
    </row>
    <row r="8" ht="30" customHeight="1">
      <c r="B8" s="4" t="inlineStr">
        <is>
          <t>•  3. Usa el desplegable de la columna 'Estado' para marcar el progreso: Pendiente, Investigando, Contactada, Aplicada, Entrevista, Descartada, Contratada.</t>
        </is>
      </c>
    </row>
    <row r="9" ht="30" customHeight="1">
      <c r="B9" s="4" t="inlineStr">
        <is>
          <t>•  4. Rellena 'Contacto' con el nombre y rol de la persona a la que has escrito (recruiter, Clinical Operations Manager, PI, etc.) y la fecha en 'Último contacto'.</t>
        </is>
      </c>
    </row>
    <row r="10" ht="30" customHeight="1">
      <c r="B10" s="4" t="inlineStr">
        <is>
          <t>•  5. La pestaña 'Seguimiento semanal' te ayuda a marcar tu ritmo: 5 empresas nuevas + 5 contactos + 3–5 candidaturas + 2–3 entrevistas simuladas en inglés por semana.</t>
        </is>
      </c>
    </row>
    <row r="11" ht="30" customHeight="1">
      <c r="B11" s="4" t="inlineStr">
        <is>
          <t>•  6. El 'Dashboard' se actualiza solo (fórmulas) según lo que rellenes en el Pipeline — te da una foto rápida de cuántas empresas tienes en cada estado y categoría.</t>
        </is>
      </c>
    </row>
    <row r="13">
      <c r="B13" s="3" t="inlineStr">
        <is>
          <t>Los 5 grupos de prioridad (según tu carta de estrategia)</t>
        </is>
      </c>
    </row>
    <row r="14" ht="30" customHeight="1">
      <c r="B14" s="4" t="inlineStr">
        <is>
          <t>•  🥇 Grupo 1 — CROs y empresas de Clinical Operations: tu mejor objetivo, tu experiencia en Quirónsalud encaja de forma directa (Clinical Trial Assistant, CRA junior, Study/Site Coordinator, CTA).</t>
        </is>
      </c>
    </row>
    <row r="15" ht="30" customHeight="1">
      <c r="B15" s="4" t="inlineStr">
        <is>
          <t>•  🥈 Grupo 2 — Pharma / Biotech con Clinical Development, especialmente en Hematología, Oncología, Enfermedades Raras, Terapias Avanzadas: aprovecha tu formación científica y tu experiencia real en Hematología/Enfermedades Raras.</t>
        </is>
      </c>
    </row>
    <row r="16" ht="30" customHeight="1">
      <c r="B16" s="4" t="inlineStr">
        <is>
          <t>•  🥉 Grupo 3 — Hospitales e institutos de investigación: es el grupo más grande y donde más ha crecido la lista. Además de Aragón (donde tienes ventaja geográfica) ahora cubre Navarra (IdiSNA, Navarrabiomed, CUN, CIMA), País Vasco (Biobizkaia, Biogipuzkoa, Bioaraba, BIOEF, Osakidetza), La Rioja (CIBIR, Fundación Rioja Salud, Hospital San Pedro) y la Comunitat Valenciana (INCLIVA, IIS La Fe, IVO, FISABIO, ISABIAL). Muchas vacantes de Research Assistant no se publican, así que el contacto directo importa más que la oferta.</t>
        </is>
      </c>
    </row>
    <row r="17" ht="30" customHeight="1">
      <c r="B17" s="4" t="inlineStr">
        <is>
          <t>•  Grupo 4 — Tecnología sanitaria / MedTech: Medical Affairs, Clinical Affairs, Regulatory, Clinical Evaluation.</t>
        </is>
      </c>
    </row>
    <row r="18" ht="30" customHeight="1">
      <c r="B18" s="4" t="inlineStr">
        <is>
          <t>•  Grupo 5 — Puestos 'puente' (Document Control, Regulatory Affairs Assistant, Quality Assistant, Project Coordinator): no deben sustituir tu búsqueda principal, pero son una entrada válida hacia Clinical Operations.</t>
        </is>
      </c>
    </row>
    <row r="20">
      <c r="B20" s="3" t="inlineStr">
        <is>
          <t>Notas sobre los datos</t>
        </is>
      </c>
    </row>
    <row r="21" ht="30" customHeight="1">
      <c r="B21" s="4" t="inlineStr">
        <is>
          <t>•  Las CROs multinacionales (IQVIA, ICON, Parexel, Labcorp/Fortrea, Syneos Health, Medpace, PPD-Thermo Fisher, PSI CRO, Worldwide Clinical Trials, Ergomed) tienen sede principal en Madrid o Barcelona, pero contratan en remoto/híbrido para toda España — por eso aparecen con 'Ciudad: Madrid/Remoto' o similar.</t>
        </is>
      </c>
    </row>
    <row r="22" ht="30" customHeight="1">
      <c r="B22" s="4" t="inlineStr">
        <is>
          <t>•  Los datos de IIS Aragón, Hospital Universitario Miguel Servet, Hospital Clínico Universitario Lozano Blesa y la Unidad de Investigación Clínica están verificados (fuente: iisaragon.es y Gobierno de Aragón, 2026). Aragón supera actualmente los 500 ensayos clínicos activos, con más del 90% concentrados en esos dos hospitales — es tu terreno más fértil a nivel local.</t>
        </is>
      </c>
    </row>
    <row r="23" ht="30" customHeight="1">
      <c r="B23" s="4" t="inlineStr">
        <is>
          <t>•  Las columnas 'Web / LinkedIn' están en blanco para que las completes tú al investigar cada empresa (evita que uses enlaces desactualizados).</t>
        </is>
      </c>
    </row>
    <row r="24" ht="30" customHeight="1">
      <c r="B24" s="4" t="inlineStr">
        <is>
          <t>•  Añade o elimina filas libremente — es tu documento de trabajo, no una plantilla fija.</t>
        </is>
      </c>
    </row>
    <row r="26">
      <c r="B26" s="3" t="inlineStr">
        <is>
          <t>Cómo se ha ampliado a Navarra, País Vasco, Logroño y Valencia</t>
        </is>
      </c>
    </row>
    <row r="27" ht="30" customHeight="1">
      <c r="B27" s="4" t="inlineStr">
        <is>
          <t>•  La ampliación es analógica, no un añadido suelto: cada bloque de Aragón tiene ahora su equivalente en las cuatro comunidades nuevas. La Unidad de Investigación Clínica del IIS Aragón ↔ IdiSNA (Navarra), los tres institutos de Osakidetza (País Vasco), la Fundación Rioja Salud / CIBIR (La Rioja) e INCLIVA / IIS La Fe (Valencia). El IACS ↔ BIOEF en Euskadi. Los hospitales de Huesca y Teruel ↔ Tudela y Estella, Calahorra, Alicante y Castellón.</t>
        </is>
      </c>
    </row>
    <row r="28" ht="30" customHeight="1">
      <c r="B28" s="4" t="inlineStr">
        <is>
          <t>•  El orden de prioridad se mantiene intacto: las filas nuevas se han insertado dentro de su grupo (1 a 5), detrás de las que ya tenías, sin mover ni tocar ninguna de las originales. El Pipeline sigue leyéndose de arriba abajo por prioridad.</t>
        </is>
      </c>
    </row>
    <row r="29" ht="30" customHeight="1">
      <c r="B29" s="4" t="inlineStr">
        <is>
          <t>•  Oportunidad destacada — Logroño: desde 2025 el edificio del CIBIR alberga una unidad de ensayos clínicos de fase I con medicamentos innovadores contra el cáncer (junto a START), concebida como referencia para todo el norte de España, Aragón incluido. Es la mejor puerta de entrada fuera de Aragón para un perfil de Study Coordinator con experiencia hospitalaria.</t>
        </is>
      </c>
    </row>
    <row r="30" ht="30" customHeight="1">
      <c r="B30" s="4" t="inlineStr">
        <is>
          <t>•  Oportunidad destacada — Valencia: la Unidad de Ensayos Clínicos Fase I Oncológicos de INCLIVA (Hospital Clínico Universitario de València) funciona desde 2004 y fue la primera de España; el IIS La Fe es referencia nacional en hematología, oncohematología pediátrica y terapias avanzadas. Ambos encajan de forma directa con tu experiencia.</t>
        </is>
      </c>
    </row>
    <row r="31" ht="30" customHeight="1">
      <c r="B31" s="4" t="inlineStr">
        <is>
          <t>•  Oportunidad destacada — Gipuzkoa: Viralgen y VIVEbiotech han convertido San Sebastián en un polo europeo de terapia génica (vectores AAV y lentivirales) que fabrica material para ensayos clínicos. Si te interesan las terapias avanzadas y las enfermedades raras, es el ecosistema más dinámico de las cuatro comunidades nuevas.</t>
        </is>
      </c>
    </row>
    <row r="32" ht="30" customHeight="1">
      <c r="B32" s="4" t="inlineStr">
        <is>
          <t>•  Tu carta interna de Quirónsalud sirve fuera de Zaragoza: el grupo tiene Policlínica Gipuzkoa (San Sebastián), Hospital Quirónsalud Bizkaia, Hospital Quirónsalud Vitoria y presencia en Valencia. Pide a tus antiguos responsables que te presenten a los equipos de investigación de esos centros — una referencia interna rinde más que veinte candidaturas en frío.</t>
        </is>
      </c>
    </row>
    <row r="33" ht="30" customHeight="1">
      <c r="B33" s="4" t="inlineStr">
        <is>
          <t>•  La Rioja no tiene industria farmacéutica propia relevante: cúbrela con el CIBIR, la Fundación Rioja Salud y el Hospital San Pedro, con las CROs multinacionales en remoto y con Navarra (Cinfa, 3P, Idifarma están a ~90 km de Logroño).</t>
        </is>
      </c>
    </row>
    <row r="34" ht="30" customHeight="1">
      <c r="B34" s="4" t="inlineStr">
        <is>
          <t>•  Las CROs multinacionales que ya tenías (IQVIA, ICON, Parexel, Fortrea, Syneos, Medpace, PPD, PSI, Worldwide, Ergomed) contratan home-based para toda España: cuando filtres sus portales, prueba también con Bilbao, Pamplona, Logroño y Valencia como ubicación, no solo con Madrid o Barcelona.</t>
        </is>
      </c>
    </row>
    <row r="35" ht="30" customHeight="1">
      <c r="B35" s="4" t="inlineStr">
        <is>
          <t>•  Vías públicas: además de escribir a los institutos, inscríbete en las bolsas de trabajo de Osakidetza, el Servicio Navarro de Salud-Osasunbidea, Rioja Salud (SERIS) y la Conselleria de Sanitat. Son lentas, pero te colocan en la lista cuando sale un contrato de apoyo a la investigación.</t>
        </is>
      </c>
    </row>
    <row r="36" ht="30" customHeight="1">
      <c r="B36" s="4" t="inlineStr">
        <is>
          <t>•  Verifica antes de escribir: los datos de Aragón estaban verificados (iisaragon.es y Gobierno de Aragón, 2026) y los de las comunidades nuevas se han contrastado con fuentes públicas en 2026, pero las estructuras y los nombres cambian (Biocruces pasó a llamarse Biobizkaia; Biodonostia, Biogipuzkoa; Dynakin es hoy CTI Laboratory Services Spain). Confirma la denominación actual y rellena tú la columna 'Web / LinkedIn' al investigar cada entidad.</t>
        </is>
      </c>
    </row>
    <row r="37" ht="30" customHeight="1">
      <c r="B37" s="4" t="inlineStr">
        <is>
          <t>•  El Dashboard incorpora un bloque «Por región objetivo» que cuenta coincidencias de texto en la columna «Ciudad». Una entidad con varias sedes suma en más de una región, así que léelo como un mapa de cobertura, no como un recuento exclusivo.</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103"/>
  <sheetViews>
    <sheetView showGridLines="0" tabSelected="1" zoomScaleNormal="100" workbookViewId="0">
      <pane ySplit="1" topLeftCell="A2" activePane="bottomLeft" state="frozen"/>
      <selection pane="bottomLeft" activeCell="A1" sqref="A1"/>
    </sheetView>
  </sheetViews>
  <sheetFormatPr baseColWidth="8" defaultColWidth="8.7421875" defaultRowHeight="15"/>
  <cols>
    <col width="9.953125" customWidth="1" min="1" max="1"/>
    <col width="20.04296875" customWidth="1" min="2" max="2"/>
    <col width="29.99609375" customWidth="1" min="3" max="3"/>
    <col width="18.0234375" customWidth="1" min="4" max="4"/>
    <col width="34.03125" customWidth="1" min="5" max="5"/>
    <col width="22.05859375" customWidth="1" min="6" max="6"/>
    <col width="23.9453125" customWidth="1" min="7" max="7"/>
    <col width="16.0078125" customWidth="1" min="8" max="9"/>
    <col width="34.03125" customWidth="1" min="10" max="10"/>
  </cols>
  <sheetData>
    <row r="1" ht="33.75" customHeight="1">
      <c r="A1" s="5" t="inlineStr">
        <is>
          <t>Prioridad</t>
        </is>
      </c>
      <c r="B1" s="5" t="inlineStr">
        <is>
          <t>Categoría</t>
        </is>
      </c>
      <c r="C1" s="5" t="inlineStr">
        <is>
          <t>Empresa / Institución</t>
        </is>
      </c>
      <c r="D1" s="5" t="inlineStr">
        <is>
          <t>Ciudad</t>
        </is>
      </c>
      <c r="E1" s="5" t="inlineStr">
        <is>
          <t>Puestos objetivo</t>
        </is>
      </c>
      <c r="F1" s="5" t="inlineStr">
        <is>
          <t>Web / LinkedIn</t>
        </is>
      </c>
      <c r="G1" s="5" t="inlineStr">
        <is>
          <t>Contacto (nombre y rol)</t>
        </is>
      </c>
      <c r="H1" s="5" t="inlineStr">
        <is>
          <t>Último contacto</t>
        </is>
      </c>
      <c r="I1" s="5" t="inlineStr">
        <is>
          <t>Estado</t>
        </is>
      </c>
      <c r="J1" s="5" t="inlineStr">
        <is>
          <t>Notas</t>
        </is>
      </c>
    </row>
    <row r="2" ht="45.75" customHeight="1">
      <c r="A2" s="6" t="n">
        <v>1</v>
      </c>
      <c r="B2" s="7" t="inlineStr">
        <is>
          <t>CRO</t>
        </is>
      </c>
      <c r="C2" s="8" t="inlineStr">
        <is>
          <t>Sofpromed</t>
        </is>
      </c>
      <c r="D2" s="7" t="inlineStr">
        <is>
          <t>Palma de Mallorca / Remoto (opera en Zaragoza)</t>
        </is>
      </c>
      <c r="E2" s="8" t="inlineStr">
        <is>
          <t>Clinical Trial Assistant; Study Coordinator; CTA</t>
        </is>
      </c>
      <c r="F2" s="8" t="n"/>
      <c r="G2" s="8" t="n"/>
      <c r="H2" s="7" t="n"/>
      <c r="I2" s="7" t="inlineStr">
        <is>
          <t>Pendiente</t>
        </is>
      </c>
      <c r="J2" s="8" t="inlineStr">
        <is>
          <t>CRO española especializada en oncología y enfermedades cardiovasculares/metabólicas; gestiona ensayos en hospitales de Zaragoza.</t>
        </is>
      </c>
    </row>
    <row r="3" ht="45.75" customHeight="1">
      <c r="A3" s="6" t="n">
        <v>1</v>
      </c>
      <c r="B3" s="7" t="inlineStr">
        <is>
          <t>CRO</t>
        </is>
      </c>
      <c r="C3" s="8" t="inlineStr">
        <is>
          <t>IQVIA</t>
        </is>
      </c>
      <c r="D3" s="7" t="inlineStr">
        <is>
          <t>Madrid / Híbrido-Remoto</t>
        </is>
      </c>
      <c r="E3" s="8" t="inlineStr">
        <is>
          <t>Clinical Trial Assistant; Junior CRA; Clinical Research Associate I</t>
        </is>
      </c>
      <c r="F3" s="8" t="n"/>
      <c r="G3" s="8" t="n"/>
      <c r="H3" s="7" t="n"/>
      <c r="I3" s="7" t="inlineStr">
        <is>
          <t>Pendiente</t>
        </is>
      </c>
      <c r="J3" s="8" t="inlineStr">
        <is>
          <t>Mayor CRO del mundo; alto volumen de vacantes junior en España, buena puerta de entrada.</t>
        </is>
      </c>
    </row>
    <row r="4" ht="45.75" customHeight="1">
      <c r="A4" s="6" t="n">
        <v>1</v>
      </c>
      <c r="B4" s="7" t="inlineStr">
        <is>
          <t>CRO</t>
        </is>
      </c>
      <c r="C4" s="8" t="inlineStr">
        <is>
          <t>ICON plc</t>
        </is>
      </c>
      <c r="D4" s="7" t="inlineStr">
        <is>
          <t>Madrid / Remoto</t>
        </is>
      </c>
      <c r="E4" s="8" t="inlineStr">
        <is>
          <t>Clinical Trial Assistant; CTA; Site Care Partner</t>
        </is>
      </c>
      <c r="F4" s="8" t="n"/>
      <c r="G4" s="8" t="n"/>
      <c r="H4" s="7" t="n"/>
      <c r="I4" s="7" t="inlineStr">
        <is>
          <t>Pendiente</t>
        </is>
      </c>
      <c r="J4" s="8" t="inlineStr">
        <is>
          <t>CRO internacional con fuerte presencia en oncología y enfermedades raras.</t>
        </is>
      </c>
    </row>
    <row r="5" ht="45.75" customHeight="1">
      <c r="A5" s="6" t="n">
        <v>1</v>
      </c>
      <c r="B5" s="7" t="inlineStr">
        <is>
          <t>CRO</t>
        </is>
      </c>
      <c r="C5" s="8" t="inlineStr">
        <is>
          <t>Labcorp Drug Development / Fortrea</t>
        </is>
      </c>
      <c r="D5" s="7" t="inlineStr">
        <is>
          <t>Madrid / Remoto</t>
        </is>
      </c>
      <c r="E5" s="8" t="inlineStr">
        <is>
          <t>Clinical Trial Assistant; Site Activation Associate</t>
        </is>
      </c>
      <c r="F5" s="8" t="n"/>
      <c r="G5" s="8" t="n"/>
      <c r="H5" s="7" t="n"/>
      <c r="I5" s="7" t="inlineStr">
        <is>
          <t>Pendiente</t>
        </is>
      </c>
      <c r="J5" s="8" t="inlineStr">
        <is>
          <t>Escisión de Labcorp centrada en gestión de ensayos clínicos; contrata perfiles junior.</t>
        </is>
      </c>
    </row>
    <row r="6" ht="45.75" customHeight="1">
      <c r="A6" s="6" t="n">
        <v>1</v>
      </c>
      <c r="B6" s="7" t="inlineStr">
        <is>
          <t>CRO</t>
        </is>
      </c>
      <c r="C6" s="8" t="inlineStr">
        <is>
          <t>Parexel</t>
        </is>
      </c>
      <c r="D6" s="7" t="inlineStr">
        <is>
          <t>Madrid / Remoto</t>
        </is>
      </c>
      <c r="E6" s="8" t="inlineStr">
        <is>
          <t>Clinical Trial Assistant; Associate CRA</t>
        </is>
      </c>
      <c r="F6" s="8" t="n"/>
      <c r="G6" s="8" t="n"/>
      <c r="H6" s="7" t="n"/>
      <c r="I6" s="7" t="inlineStr">
        <is>
          <t>Pendiente</t>
        </is>
      </c>
      <c r="J6" s="8" t="inlineStr">
        <is>
          <t>CRO global con programas de entrada para CRA junior ("CRA Academy").</t>
        </is>
      </c>
    </row>
    <row r="7" ht="45.75" customHeight="1">
      <c r="A7" s="6" t="n">
        <v>1</v>
      </c>
      <c r="B7" s="7" t="inlineStr">
        <is>
          <t>CRO</t>
        </is>
      </c>
      <c r="C7" s="8" t="inlineStr">
        <is>
          <t>Syneos Health</t>
        </is>
      </c>
      <c r="D7" s="7" t="inlineStr">
        <is>
          <t>Madrid / Remoto</t>
        </is>
      </c>
      <c r="E7" s="8" t="inlineStr">
        <is>
          <t>Clinical Trial Assistant; Site Manager Associate</t>
        </is>
      </c>
      <c r="F7" s="8" t="n"/>
      <c r="G7" s="8" t="n"/>
      <c r="H7" s="7" t="n"/>
      <c r="I7" s="7" t="inlineStr">
        <is>
          <t>Pendiente</t>
        </is>
      </c>
      <c r="J7" s="8" t="inlineStr">
        <is>
          <t>Combina CRO y servicios comerciales; suele publicar vacantes CTA en España.</t>
        </is>
      </c>
    </row>
    <row r="8" ht="45.75" customHeight="1">
      <c r="A8" s="6" t="n">
        <v>1</v>
      </c>
      <c r="B8" s="7" t="inlineStr">
        <is>
          <t>CRO</t>
        </is>
      </c>
      <c r="C8" s="8" t="inlineStr">
        <is>
          <t>Medpace</t>
        </is>
      </c>
      <c r="D8" s="7" t="inlineStr">
        <is>
          <t>Madrid / Remoto</t>
        </is>
      </c>
      <c r="E8" s="8" t="inlineStr">
        <is>
          <t>Clinical Trial Administrator; CRA in Training</t>
        </is>
      </c>
      <c r="F8" s="8" t="n"/>
      <c r="G8" s="8" t="n"/>
      <c r="H8" s="7" t="n"/>
      <c r="I8" s="7" t="inlineStr">
        <is>
          <t>Pendiente</t>
        </is>
      </c>
      <c r="J8" s="8" t="inlineStr">
        <is>
          <t>Fuerte en oncología, hematología y enfermedades raras.</t>
        </is>
      </c>
    </row>
    <row r="9" ht="45.75" customHeight="1">
      <c r="A9" s="6" t="n">
        <v>1</v>
      </c>
      <c r="B9" s="7" t="inlineStr">
        <is>
          <t>CRO</t>
        </is>
      </c>
      <c r="C9" s="8" t="inlineStr">
        <is>
          <t>PPD (Thermo Fisher Scientific)</t>
        </is>
      </c>
      <c r="D9" s="7" t="inlineStr">
        <is>
          <t>Madrid / Remoto</t>
        </is>
      </c>
      <c r="E9" s="8" t="inlineStr">
        <is>
          <t>Clinical Trial Assistant; Clinical Research Associate I</t>
        </is>
      </c>
      <c r="F9" s="8" t="n"/>
      <c r="G9" s="8" t="n"/>
      <c r="H9" s="7" t="n"/>
      <c r="I9" s="7" t="inlineStr">
        <is>
          <t>Pendiente</t>
        </is>
      </c>
      <c r="J9" s="8" t="inlineStr">
        <is>
          <t>División de investigación clínica de Thermo Fisher; alto volumen de contratación.</t>
        </is>
      </c>
    </row>
    <row r="10" ht="45.75" customHeight="1">
      <c r="A10" s="6" t="n">
        <v>1</v>
      </c>
      <c r="B10" s="7" t="inlineStr">
        <is>
          <t>CRO</t>
        </is>
      </c>
      <c r="C10" s="8" t="inlineStr">
        <is>
          <t>PSI CRO</t>
        </is>
      </c>
      <c r="D10" s="7" t="inlineStr">
        <is>
          <t>Madrid / Remoto</t>
        </is>
      </c>
      <c r="E10" s="8" t="inlineStr">
        <is>
          <t>Clinical Trial Assistant; Junior CRA</t>
        </is>
      </c>
      <c r="F10" s="8" t="n"/>
      <c r="G10" s="8" t="n"/>
      <c r="H10" s="7" t="n"/>
      <c r="I10" s="7" t="inlineStr">
        <is>
          <t>Pendiente</t>
        </is>
      </c>
      <c r="J10" s="8" t="inlineStr">
        <is>
          <t>CRO europea de tamaño medio, buen ambiente para primeros años de carrera.</t>
        </is>
      </c>
    </row>
    <row r="11" ht="45.75" customHeight="1">
      <c r="A11" s="6" t="n">
        <v>1</v>
      </c>
      <c r="B11" s="7" t="inlineStr">
        <is>
          <t>CRO</t>
        </is>
      </c>
      <c r="C11" s="8" t="inlineStr">
        <is>
          <t>Worldwide Clinical Trials</t>
        </is>
      </c>
      <c r="D11" s="7" t="inlineStr">
        <is>
          <t>Madrid / Remoto</t>
        </is>
      </c>
      <c r="E11" s="8" t="inlineStr">
        <is>
          <t>Clinical Trial Assistant; Clinical Team Assistant</t>
        </is>
      </c>
      <c r="F11" s="8" t="n"/>
      <c r="G11" s="8" t="n"/>
      <c r="H11" s="7" t="n"/>
      <c r="I11" s="7" t="inlineStr">
        <is>
          <t>Pendiente</t>
        </is>
      </c>
      <c r="J11" s="8" t="inlineStr">
        <is>
          <t>CRO especializada, presencia creciente en España.</t>
        </is>
      </c>
    </row>
    <row r="12" ht="45.75" customHeight="1">
      <c r="A12" s="6" t="n">
        <v>1</v>
      </c>
      <c r="B12" s="7" t="inlineStr">
        <is>
          <t>CRO</t>
        </is>
      </c>
      <c r="C12" s="8" t="inlineStr">
        <is>
          <t>Ergomed / PrimeVigilance</t>
        </is>
      </c>
      <c r="D12" s="7" t="inlineStr">
        <is>
          <t>Barcelona / Remoto</t>
        </is>
      </c>
      <c r="E12" s="8" t="inlineStr">
        <is>
          <t>Clinical Trial Assistant; Study Coordinator; Pharmacovigilance Assistant</t>
        </is>
      </c>
      <c r="F12" s="8" t="n"/>
      <c r="G12" s="8" t="n"/>
      <c r="H12" s="7" t="n"/>
      <c r="I12" s="7" t="inlineStr">
        <is>
          <t>Pendiente</t>
        </is>
      </c>
      <c r="J12" s="8" t="inlineStr">
        <is>
          <t>Fuerte en oncología y farmacovigilancia; útil si te interesa el puente hacia Drug Safety.</t>
        </is>
      </c>
    </row>
    <row r="13" ht="45.75" customHeight="1">
      <c r="A13" s="6" t="n">
        <v>1</v>
      </c>
      <c r="B13" s="7" t="inlineStr">
        <is>
          <t>CRO</t>
        </is>
      </c>
      <c r="C13" s="8" t="inlineStr">
        <is>
          <t>Dynamic Solutions</t>
        </is>
      </c>
      <c r="D13" s="7" t="inlineStr">
        <is>
          <t>Madrid</t>
        </is>
      </c>
      <c r="E13" s="8" t="inlineStr">
        <is>
          <t>Clinical Research Assistant; Study Coordinator</t>
        </is>
      </c>
      <c r="F13" s="8" t="n"/>
      <c r="G13" s="8" t="n"/>
      <c r="H13" s="7" t="n"/>
      <c r="I13" s="7" t="inlineStr">
        <is>
          <t>Pendiente</t>
        </is>
      </c>
      <c r="J13" s="8" t="inlineStr">
        <is>
          <t>CRO española de tamaño medio, trato más directo con el equipo de selección.</t>
        </is>
      </c>
    </row>
    <row r="14" ht="45.75" customHeight="1">
      <c r="A14" s="6" t="n">
        <v>1</v>
      </c>
      <c r="B14" s="7" t="inlineStr">
        <is>
          <t>CRO</t>
        </is>
      </c>
      <c r="C14" s="8" t="inlineStr">
        <is>
          <t>ScienHub (Academic CRO)</t>
        </is>
      </c>
      <c r="D14" s="7" t="inlineStr">
        <is>
          <t>España / Remoto</t>
        </is>
      </c>
      <c r="E14" s="8" t="inlineStr">
        <is>
          <t>Clinical Research Assistant; Project Assistant</t>
        </is>
      </c>
      <c r="F14" s="8" t="n"/>
      <c r="G14" s="8" t="n"/>
      <c r="H14" s="7" t="n"/>
      <c r="I14" s="7" t="inlineStr">
        <is>
          <t>Pendiente</t>
        </is>
      </c>
      <c r="J14" s="8" t="inlineStr">
        <is>
          <t>CRO académica que apoya a investigadores/promotores independientes — encaja bien con perfil hospitalario.</t>
        </is>
      </c>
    </row>
    <row r="15" ht="45.75" customHeight="1">
      <c r="A15" s="6" t="n">
        <v>1</v>
      </c>
      <c r="B15" s="7" t="inlineStr">
        <is>
          <t>CRO</t>
        </is>
      </c>
      <c r="C15" s="8" t="inlineStr">
        <is>
          <t>START Madrid — Unidad de Ensayos Clínicos Fase I de La Rioja (Fundación Rioja Salud)</t>
        </is>
      </c>
      <c r="D15" s="7" t="inlineStr">
        <is>
          <t>Logroño (La Rioja)</t>
        </is>
      </c>
      <c r="E15" s="8" t="inlineStr">
        <is>
          <t>Study Coordinator (fase I oncología); Clinical Trial Assistant; Data Manager</t>
        </is>
      </c>
      <c r="F15" s="8" t="n"/>
      <c r="G15" s="8" t="n"/>
      <c r="H15" s="7" t="n"/>
      <c r="I15" s="7" t="inlineStr">
        <is>
          <t>Pendiente</t>
        </is>
      </c>
      <c r="J15" s="8" t="inlineStr">
        <is>
          <t>Unidad de ensayos fase I con medicamentos innovadores contra el cáncer, alojada en el edificio del CIBIR y en marcha desde 2025 como referencia para el norte de España (La Rioja, Aragón, Navarra, País Vasco, Cantabria, Asturias y Castilla y León). Es la oportunidad más directa fuera de Aragón para tu perfil: la fase I necesita coordinadores con experiencia hospitalaria real.</t>
        </is>
      </c>
    </row>
    <row r="16" ht="45.75" customHeight="1">
      <c r="A16" s="6" t="n">
        <v>1</v>
      </c>
      <c r="B16" s="7" t="inlineStr">
        <is>
          <t>CRO</t>
        </is>
      </c>
      <c r="C16" s="8" t="inlineStr">
        <is>
          <t>Dynakin (CTI Laboratory Services Spain — grupo CTI M&amp;S)</t>
        </is>
      </c>
      <c r="D16" s="7" t="inlineStr">
        <is>
          <t>Derio (Bizkaia, País Vasco)</t>
        </is>
      </c>
      <c r="E16" s="8" t="inlineStr">
        <is>
          <t>Clinical Trial Assistant; Clinical Research Assistant; Study Coordinator</t>
        </is>
      </c>
      <c r="F16" s="8" t="n"/>
      <c r="G16" s="8" t="n"/>
      <c r="H16" s="7" t="n"/>
      <c r="I16" s="7" t="inlineStr">
        <is>
          <t>Pendiente</t>
        </is>
      </c>
      <c r="J16" s="8" t="inlineStr">
        <is>
          <t>CRO vasca en el Parque Tecnológico de Bizkaia: fases I–IV, PK/PD, bioanálisis y medical writing; integrada en el grupo internacional CTI. Equipo pequeño, así que la candidatura espontánea al equipo de Clinical Operations funciona mejor que el portal de empleo.</t>
        </is>
      </c>
    </row>
    <row r="17" ht="45.75" customHeight="1">
      <c r="A17" s="6" t="n">
        <v>1</v>
      </c>
      <c r="B17" s="7" t="inlineStr">
        <is>
          <t>CRO</t>
        </is>
      </c>
      <c r="C17" s="8" t="inlineStr">
        <is>
          <t>Bionos Biotech</t>
        </is>
      </c>
      <c r="D17" s="7" t="inlineStr">
        <is>
          <t>Paterna / Valencia (Parc Científic UV)</t>
        </is>
      </c>
      <c r="E17" s="8" t="inlineStr">
        <is>
          <t>Clinical Research Assistant; Study Coordinator; Project Assistant</t>
        </is>
      </c>
      <c r="F17" s="8" t="n"/>
      <c r="G17" s="8" t="n"/>
      <c r="H17" s="7" t="n"/>
      <c r="I17" s="7" t="inlineStr">
        <is>
          <t>Pendiente</t>
        </is>
      </c>
      <c r="J17" s="8" t="inlineStr">
        <is>
          <t>CRO valenciana con estudios preclínicos y clínicos (dermatología, cosmética y productos sanitarios). Buen primer contacto local en Valencia; confirma sus líneas de ensayo clínico actuales antes de escribir.</t>
        </is>
      </c>
    </row>
    <row r="18" ht="45.75" customHeight="1">
      <c r="A18" s="9" t="n">
        <v>2</v>
      </c>
      <c r="B18" s="7" t="inlineStr">
        <is>
          <t>Pharma/Biotech</t>
        </is>
      </c>
      <c r="C18" s="8" t="inlineStr">
        <is>
          <t>Grifols</t>
        </is>
      </c>
      <c r="D18" s="7" t="inlineStr">
        <is>
          <t>Barcelona</t>
        </is>
      </c>
      <c r="E18" s="8" t="inlineStr">
        <is>
          <t>Clinical Research Assistant; Clinical Trial Coordinator (Hematología/Plasma)</t>
        </is>
      </c>
      <c r="F18" s="8" t="n"/>
      <c r="G18" s="8" t="n"/>
      <c r="H18" s="7" t="n"/>
      <c r="I18" s="7" t="inlineStr">
        <is>
          <t>Pendiente</t>
        </is>
      </c>
      <c r="J18" s="8" t="inlineStr">
        <is>
          <t>Líder mundial en hemoderivados; tu experiencia en Hematología y Enfermedades Raras encaja de forma directa.</t>
        </is>
      </c>
    </row>
    <row r="19" ht="45.75" customHeight="1">
      <c r="A19" s="9" t="n">
        <v>2</v>
      </c>
      <c r="B19" s="7" t="inlineStr">
        <is>
          <t>Pharma/Biotech</t>
        </is>
      </c>
      <c r="C19" s="8" t="inlineStr">
        <is>
          <t>Takeda España</t>
        </is>
      </c>
      <c r="D19" s="7" t="inlineStr">
        <is>
          <t>Madrid</t>
        </is>
      </c>
      <c r="E19" s="8" t="inlineStr">
        <is>
          <t>Clinical Operations Assistant; Clinical Trial Coordinator</t>
        </is>
      </c>
      <c r="F19" s="8" t="n"/>
      <c r="G19" s="8" t="n"/>
      <c r="H19" s="7" t="n"/>
      <c r="I19" s="7" t="inlineStr">
        <is>
          <t>Pendiente</t>
        </is>
      </c>
      <c r="J19" s="8" t="inlineStr">
        <is>
          <t>Fuerte foco en Oncología, Hematología y Enfermedades Raras.</t>
        </is>
      </c>
    </row>
    <row r="20" ht="45.75" customHeight="1">
      <c r="A20" s="9" t="n">
        <v>2</v>
      </c>
      <c r="B20" s="7" t="inlineStr">
        <is>
          <t>Pharma/Biotech</t>
        </is>
      </c>
      <c r="C20" s="8" t="inlineStr">
        <is>
          <t>Roche Farma España</t>
        </is>
      </c>
      <c r="D20" s="7" t="inlineStr">
        <is>
          <t>Madrid</t>
        </is>
      </c>
      <c r="E20" s="8" t="inlineStr">
        <is>
          <t>Clinical Operations Assistant; Medical Affairs Assistant</t>
        </is>
      </c>
      <c r="F20" s="8" t="n"/>
      <c r="G20" s="8" t="n"/>
      <c r="H20" s="7" t="n"/>
      <c r="I20" s="7" t="inlineStr">
        <is>
          <t>Pendiente</t>
        </is>
      </c>
      <c r="J20" s="8" t="inlineStr">
        <is>
          <t>Gran cartera en Oncología y Hematología; procesos de selección estructurados, buena entrada junior.</t>
        </is>
      </c>
    </row>
    <row r="21" ht="45.75" customHeight="1">
      <c r="A21" s="9" t="n">
        <v>2</v>
      </c>
      <c r="B21" s="7" t="inlineStr">
        <is>
          <t>Pharma/Biotech</t>
        </is>
      </c>
      <c r="C21" s="8" t="inlineStr">
        <is>
          <t>Novartis España</t>
        </is>
      </c>
      <c r="D21" s="7" t="inlineStr">
        <is>
          <t>Barcelona</t>
        </is>
      </c>
      <c r="E21" s="8" t="inlineStr">
        <is>
          <t>Clinical Trial Assistant; Clinical Operations Coordinator</t>
        </is>
      </c>
      <c r="F21" s="8" t="n"/>
      <c r="G21" s="8" t="n"/>
      <c r="H21" s="7" t="n"/>
      <c r="I21" s="7" t="inlineStr">
        <is>
          <t>Pendiente</t>
        </is>
      </c>
      <c r="J21" s="8" t="inlineStr">
        <is>
          <t>Oncología, Hematología y terapias celulares (CAR-T).</t>
        </is>
      </c>
    </row>
    <row r="22" ht="45.75" customHeight="1">
      <c r="A22" s="9" t="n">
        <v>2</v>
      </c>
      <c r="B22" s="7" t="inlineStr">
        <is>
          <t>Pharma/Biotech</t>
        </is>
      </c>
      <c r="C22" s="8" t="inlineStr">
        <is>
          <t>Bristol Myers Squibb España</t>
        </is>
      </c>
      <c r="D22" s="7" t="inlineStr">
        <is>
          <t>Madrid</t>
        </is>
      </c>
      <c r="E22" s="8" t="inlineStr">
        <is>
          <t>Clinical Operations Assistant</t>
        </is>
      </c>
      <c r="F22" s="8" t="n"/>
      <c r="G22" s="8" t="n"/>
      <c r="H22" s="7" t="n"/>
      <c r="I22" s="7" t="inlineStr">
        <is>
          <t>Pendiente</t>
        </is>
      </c>
      <c r="J22" s="8" t="inlineStr">
        <is>
          <t>Fuerte en Hematología y Oncología (herencia Celgene).</t>
        </is>
      </c>
    </row>
    <row r="23" ht="45.75" customHeight="1">
      <c r="A23" s="9" t="n">
        <v>2</v>
      </c>
      <c r="B23" s="7" t="inlineStr">
        <is>
          <t>Pharma/Biotech</t>
        </is>
      </c>
      <c r="C23" s="8" t="inlineStr">
        <is>
          <t>Janssen (Johnson &amp; Johnson) España</t>
        </is>
      </c>
      <c r="D23" s="7" t="inlineStr">
        <is>
          <t>Madrid</t>
        </is>
      </c>
      <c r="E23" s="8" t="inlineStr">
        <is>
          <t>Clinical Trial Assistant</t>
        </is>
      </c>
      <c r="F23" s="8" t="n"/>
      <c r="G23" s="8" t="n"/>
      <c r="H23" s="7" t="n"/>
      <c r="I23" s="7" t="inlineStr">
        <is>
          <t>Pendiente</t>
        </is>
      </c>
      <c r="J23" s="8" t="inlineStr">
        <is>
          <t>Portafolio en Oncología, Hematología e Inmunología.</t>
        </is>
      </c>
    </row>
    <row r="24" ht="45.75" customHeight="1">
      <c r="A24" s="9" t="n">
        <v>2</v>
      </c>
      <c r="B24" s="7" t="inlineStr">
        <is>
          <t>Pharma/Biotech</t>
        </is>
      </c>
      <c r="C24" s="8" t="inlineStr">
        <is>
          <t>Amgen España</t>
        </is>
      </c>
      <c r="D24" s="7" t="inlineStr">
        <is>
          <t>Madrid</t>
        </is>
      </c>
      <c r="E24" s="8" t="inlineStr">
        <is>
          <t>Clinical Operations Coordinator</t>
        </is>
      </c>
      <c r="F24" s="8" t="n"/>
      <c r="G24" s="8" t="n"/>
      <c r="H24" s="7" t="n"/>
      <c r="I24" s="7" t="inlineStr">
        <is>
          <t>Pendiente</t>
        </is>
      </c>
      <c r="J24" s="8" t="inlineStr">
        <is>
          <t>Oncología, Hematología y enfermedades raras/metabólicas.</t>
        </is>
      </c>
    </row>
    <row r="25" ht="45.75" customHeight="1">
      <c r="A25" s="9" t="n">
        <v>2</v>
      </c>
      <c r="B25" s="7" t="inlineStr">
        <is>
          <t>Pharma/Biotech</t>
        </is>
      </c>
      <c r="C25" s="8" t="inlineStr">
        <is>
          <t>Sanofi España</t>
        </is>
      </c>
      <c r="D25" s="7" t="inlineStr">
        <is>
          <t>Barcelona</t>
        </is>
      </c>
      <c r="E25" s="8" t="inlineStr">
        <is>
          <t>Clinical Trial Assistant; Rare Disease Study Coordinator</t>
        </is>
      </c>
      <c r="F25" s="8" t="n"/>
      <c r="G25" s="8" t="n"/>
      <c r="H25" s="7" t="n"/>
      <c r="I25" s="7" t="inlineStr">
        <is>
          <t>Pendiente</t>
        </is>
      </c>
      <c r="J25" s="8" t="inlineStr">
        <is>
          <t>División específica de Enfermedades Raras (Sanofi Genzyme).</t>
        </is>
      </c>
    </row>
    <row r="26" ht="45.75" customHeight="1">
      <c r="A26" s="9" t="n">
        <v>2</v>
      </c>
      <c r="B26" s="7" t="inlineStr">
        <is>
          <t>Pharma/Biotech</t>
        </is>
      </c>
      <c r="C26" s="8" t="inlineStr">
        <is>
          <t>PharmaMar</t>
        </is>
      </c>
      <c r="D26" s="7" t="inlineStr">
        <is>
          <t>Madrid</t>
        </is>
      </c>
      <c r="E26" s="8" t="inlineStr">
        <is>
          <t>Clinical Research Assistant</t>
        </is>
      </c>
      <c r="F26" s="8" t="n"/>
      <c r="G26" s="8" t="n"/>
      <c r="H26" s="7" t="n"/>
      <c r="I26" s="7" t="inlineStr">
        <is>
          <t>Pendiente</t>
        </is>
      </c>
      <c r="J26" s="8" t="inlineStr">
        <is>
          <t>Biofarmacéutica española especializada en Oncología (fármacos marinos).</t>
        </is>
      </c>
    </row>
    <row r="27" ht="45.75" customHeight="1">
      <c r="A27" s="9" t="n">
        <v>2</v>
      </c>
      <c r="B27" s="7" t="inlineStr">
        <is>
          <t>Pharma/Biotech</t>
        </is>
      </c>
      <c r="C27" s="8" t="inlineStr">
        <is>
          <t>Almirall</t>
        </is>
      </c>
      <c r="D27" s="7" t="inlineStr">
        <is>
          <t>Barcelona</t>
        </is>
      </c>
      <c r="E27" s="8" t="inlineStr">
        <is>
          <t>Clinical Operations Assistant</t>
        </is>
      </c>
      <c r="F27" s="8" t="n"/>
      <c r="G27" s="8" t="n"/>
      <c r="H27" s="7" t="n"/>
      <c r="I27" s="7" t="inlineStr">
        <is>
          <t>Pendiente</t>
        </is>
      </c>
      <c r="J27" s="8" t="inlineStr">
        <is>
          <t>Farmacéutica española; menor foco hematología pero buena puerta de entrada nacional.</t>
        </is>
      </c>
    </row>
    <row r="28" ht="45.75" customHeight="1">
      <c r="A28" s="9" t="n">
        <v>2</v>
      </c>
      <c r="B28" s="7" t="inlineStr">
        <is>
          <t>Pharma/Biotech</t>
        </is>
      </c>
      <c r="C28" s="8" t="inlineStr">
        <is>
          <t>Laboratorios Cinfa</t>
        </is>
      </c>
      <c r="D28" s="7" t="inlineStr">
        <is>
          <t>Huarte / Olloki (Navarra)</t>
        </is>
      </c>
      <c r="E28" s="8" t="inlineStr">
        <is>
          <t>Clinical Research Assistant; Medical Department Assistant; Regulatory Affairs Assistant</t>
        </is>
      </c>
      <c r="F28" s="8" t="n"/>
      <c r="G28" s="8" t="n"/>
      <c r="H28" s="7" t="n"/>
      <c r="I28" s="7" t="inlineStr">
        <is>
          <t>Pendiente</t>
        </is>
      </c>
      <c r="J28" s="8" t="inlineStr">
        <is>
          <t>Mayor laboratorio farmacéutico español de genéricos y OTC, con I+D y departamento médico propios en Navarra. Es el empleador farma ancla de la región y también la referencia más cercana desde Logroño (≈90 km).</t>
        </is>
      </c>
    </row>
    <row r="29" ht="45.75" customHeight="1">
      <c r="A29" s="9" t="n">
        <v>2</v>
      </c>
      <c r="B29" s="7" t="inlineStr">
        <is>
          <t>Pharma/Biotech</t>
        </is>
      </c>
      <c r="C29" s="8" t="inlineStr">
        <is>
          <t>3P Biopharmaceuticals</t>
        </is>
      </c>
      <c r="D29" s="7" t="inlineStr">
        <is>
          <t>Noáin (Navarra)</t>
        </is>
      </c>
      <c r="E29" s="8" t="inlineStr">
        <is>
          <t>Project Assistant; Clinical Supply Coordinator; QA / Documentation Assistant</t>
        </is>
      </c>
      <c r="F29" s="8" t="n"/>
      <c r="G29" s="8" t="n"/>
      <c r="H29" s="7" t="n"/>
      <c r="I29" s="7" t="inlineStr">
        <is>
          <t>Pendiente</t>
        </is>
      </c>
      <c r="J29" s="8" t="inlineStr">
        <is>
          <t>CDMO de biológicos y terapias avanzadas que fabrica producto para ensayos clínicos internacionales. Entrada excelente al mundo de las terapias avanzadas sin salir de Navarra.</t>
        </is>
      </c>
    </row>
    <row r="30" ht="45.75" customHeight="1">
      <c r="A30" s="9" t="n">
        <v>2</v>
      </c>
      <c r="B30" s="7" t="inlineStr">
        <is>
          <t>Pharma/Biotech</t>
        </is>
      </c>
      <c r="C30" s="8" t="inlineStr">
        <is>
          <t>Faes Farma</t>
        </is>
      </c>
      <c r="D30" s="7" t="inlineStr">
        <is>
          <t>Leioa (Bizkaia, País Vasco)</t>
        </is>
      </c>
      <c r="E30" s="8" t="inlineStr">
        <is>
          <t>Clinical Research Assistant; Clinical Trial Coordinator; Medical Affairs Assistant</t>
        </is>
      </c>
      <c r="F30" s="8" t="n"/>
      <c r="G30" s="8" t="n"/>
      <c r="H30" s="7" t="n"/>
      <c r="I30" s="7" t="inlineStr">
        <is>
          <t>Pendiente</t>
        </is>
      </c>
      <c r="J30" s="8" t="inlineStr">
        <is>
          <t>Farmacéutica española cotizada con I+D y desarrollo clínico propios en Bizkaia (~1.700 empleados). Es el mayor empleador farmacéutico del País Vasco: prioritaria en tu lista vasca del grupo 2.</t>
        </is>
      </c>
    </row>
    <row r="31" ht="45.75" customHeight="1">
      <c r="A31" s="9" t="n">
        <v>2</v>
      </c>
      <c r="B31" s="7" t="inlineStr">
        <is>
          <t>Pharma/Biotech</t>
        </is>
      </c>
      <c r="C31" s="8" t="inlineStr">
        <is>
          <t>Viralgen Vector Core (grupo Bayer / AskBio)</t>
        </is>
      </c>
      <c r="D31" s="7" t="inlineStr">
        <is>
          <t>San Sebastián (Gipuzkoa, País Vasco)</t>
        </is>
      </c>
      <c r="E31" s="8" t="inlineStr">
        <is>
          <t>Clinical / Project Documentation Assistant; QA Assistant; Project Coordinator</t>
        </is>
      </c>
      <c r="F31" s="8" t="n"/>
      <c r="G31" s="8" t="n"/>
      <c r="H31" s="7" t="n"/>
      <c r="I31" s="7" t="inlineStr">
        <is>
          <t>Pendiente</t>
        </is>
      </c>
      <c r="J31" s="8" t="inlineStr">
        <is>
          <t>Planta de referencia mundial en vectores AAV para terapia génica; fabrica material para ensayos clínicos en humanos. Encaja con tu interés en enfermedades raras y terapias avanzadas.</t>
        </is>
      </c>
    </row>
    <row r="32" ht="45.75" customHeight="1">
      <c r="A32" s="9" t="n">
        <v>2</v>
      </c>
      <c r="B32" s="7" t="inlineStr">
        <is>
          <t>Pharma/Biotech</t>
        </is>
      </c>
      <c r="C32" s="8" t="inlineStr">
        <is>
          <t>VIVEbiotech</t>
        </is>
      </c>
      <c r="D32" s="7" t="inlineStr">
        <is>
          <t>San Sebastián (Gipuzkoa, País Vasco)</t>
        </is>
      </c>
      <c r="E32" s="8" t="inlineStr">
        <is>
          <t>Project Assistant; QA Assistant; Regulatory Affairs Assistant</t>
        </is>
      </c>
      <c r="F32" s="8" t="n"/>
      <c r="G32" s="8" t="n"/>
      <c r="H32" s="7" t="n"/>
      <c r="I32" s="7" t="inlineStr">
        <is>
          <t>Pendiente</t>
        </is>
      </c>
      <c r="J32" s="8" t="inlineStr">
        <is>
          <t>CDMO de vectores lentivirales para terapia génica (CAR-T y enfermedades raras). Junto con Viralgen forma el polo de terapias avanzadas de Gipuzkoa (proyecto GANTT).</t>
        </is>
      </c>
    </row>
    <row r="33" ht="45.75" customHeight="1">
      <c r="A33" s="9" t="n">
        <v>2</v>
      </c>
      <c r="B33" s="7" t="inlineStr">
        <is>
          <t>Pharma/Biotech</t>
        </is>
      </c>
      <c r="C33" s="8" t="inlineStr">
        <is>
          <t>Progenika Biopharma (Grupo Grifols)</t>
        </is>
      </c>
      <c r="D33" s="7" t="inlineStr">
        <is>
          <t>Derio (Bizkaia, País Vasco)</t>
        </is>
      </c>
      <c r="E33" s="8" t="inlineStr">
        <is>
          <t>Clinical Study Assistant; Scientific Support; Project Assistant</t>
        </is>
      </c>
      <c r="F33" s="8" t="n"/>
      <c r="G33" s="8" t="n"/>
      <c r="H33" s="7" t="n"/>
      <c r="I33" s="7" t="inlineStr">
        <is>
          <t>Pendiente</t>
        </is>
      </c>
      <c r="J33" s="8" t="inlineStr">
        <is>
          <t>Sede vasca de Grifols, especializada en diagnóstico genómico aplicado a hematología y medicina transfusional. Ya tienes a Grifols en este grupo: si quieres quedarte en el norte, esta es su puerta de entrada.</t>
        </is>
      </c>
    </row>
    <row r="34" ht="45.75" customHeight="1">
      <c r="A34" s="9" t="n">
        <v>2</v>
      </c>
      <c r="B34" s="7" t="inlineStr">
        <is>
          <t>Pharma/Biotech</t>
        </is>
      </c>
      <c r="C34" s="8" t="inlineStr">
        <is>
          <t>Igenomix (Grupo Vitrolife)</t>
        </is>
      </c>
      <c r="D34" s="7" t="inlineStr">
        <is>
          <t>Paterna (Valencia)</t>
        </is>
      </c>
      <c r="E34" s="8" t="inlineStr">
        <is>
          <t>Clinical Study Coordinator; Scientific Project Assistant</t>
        </is>
      </c>
      <c r="F34" s="8" t="n"/>
      <c r="G34" s="8" t="n"/>
      <c r="H34" s="7" t="n"/>
      <c r="I34" s="7" t="inlineStr">
        <is>
          <t>Pendiente</t>
        </is>
      </c>
      <c r="J34" s="8" t="inlineStr">
        <is>
          <t>Referente mundial en genética reproductiva, con estudios clínicos propios y red internacional. Junto a Ascires e Imegen concentra en Paterna buena parte del diagnóstico genético que se hace en España.</t>
        </is>
      </c>
    </row>
    <row r="35" ht="45.75" customHeight="1">
      <c r="A35" s="9" t="n">
        <v>2</v>
      </c>
      <c r="B35" s="7" t="inlineStr">
        <is>
          <t>Pharma/Biotech</t>
        </is>
      </c>
      <c r="C35" s="8" t="inlineStr">
        <is>
          <t>IVI RMA Global / Fundación IVI</t>
        </is>
      </c>
      <c r="D35" s="7" t="inlineStr">
        <is>
          <t>Valencia</t>
        </is>
      </c>
      <c r="E35" s="8" t="inlineStr">
        <is>
          <t>Clinical Research Coordinator; Study Coordinator (medicina reproductiva); Data Manager</t>
        </is>
      </c>
      <c r="F35" s="8" t="n"/>
      <c r="G35" s="8" t="n"/>
      <c r="H35" s="7" t="n"/>
      <c r="I35" s="7" t="inlineStr">
        <is>
          <t>Pendiente</t>
        </is>
      </c>
      <c r="J35" s="8" t="inlineStr">
        <is>
          <t>Mayor grupo español de medicina reproductiva, con fundación de investigación propia y una cartera amplia de estudios clínicos activos. El perfil de coordinación de estudios es casi idéntico al tuyo.</t>
        </is>
      </c>
    </row>
    <row r="36" ht="45.75" customHeight="1">
      <c r="A36" s="9" t="n">
        <v>2</v>
      </c>
      <c r="B36" s="7" t="inlineStr">
        <is>
          <t>Pharma/Biotech</t>
        </is>
      </c>
      <c r="C36" s="8" t="inlineStr">
        <is>
          <t>Ascires Grupo Biomédico — Sistemas Genómicos</t>
        </is>
      </c>
      <c r="D36" s="7" t="inlineStr">
        <is>
          <t>Paterna / Valencia</t>
        </is>
      </c>
      <c r="E36" s="8" t="inlineStr">
        <is>
          <t>Clinical Project Assistant; Scientific Support</t>
        </is>
      </c>
      <c r="F36" s="8" t="n"/>
      <c r="G36" s="8" t="n"/>
      <c r="H36" s="7" t="n"/>
      <c r="I36" s="7" t="inlineStr">
        <is>
          <t>Pendiente</t>
        </is>
      </c>
      <c r="J36" s="8" t="inlineStr">
        <is>
          <t>Grupo biomédico valenciano de imagen y genómica con proyectos de investigación clínica propios y colaboración estrecha con hospitales de la Comunitat.</t>
        </is>
      </c>
    </row>
    <row r="37" ht="45.75" customHeight="1">
      <c r="A37" s="9" t="n">
        <v>2</v>
      </c>
      <c r="B37" s="7" t="inlineStr">
        <is>
          <t>Pharma/Biotech</t>
        </is>
      </c>
      <c r="C37" s="8" t="inlineStr">
        <is>
          <t>Health in Code — Imegen</t>
        </is>
      </c>
      <c r="D37" s="7" t="inlineStr">
        <is>
          <t>Paterna (Valencia)</t>
        </is>
      </c>
      <c r="E37" s="8" t="inlineStr">
        <is>
          <t>Scientific Project Assistant; Clinical Data Assistant</t>
        </is>
      </c>
      <c r="F37" s="8" t="n"/>
      <c r="G37" s="8" t="n"/>
      <c r="H37" s="7" t="n"/>
      <c r="I37" s="7" t="inlineStr">
        <is>
          <t>Pendiente</t>
        </is>
      </c>
      <c r="J37" s="8" t="inlineStr">
        <is>
          <t>Diagnóstico genético de enfermedades raras y cardiovasculares. Encaje directo con tu experiencia en Enfermedades Raras si buscas la vía diagnóstica.</t>
        </is>
      </c>
    </row>
    <row r="38" ht="45.75" customHeight="1">
      <c r="A38" s="9" t="n">
        <v>2</v>
      </c>
      <c r="B38" s="7" t="inlineStr">
        <is>
          <t>Pharma/Biotech</t>
        </is>
      </c>
      <c r="C38" s="8" t="inlineStr">
        <is>
          <t>ADM Biopolis</t>
        </is>
      </c>
      <c r="D38" s="7" t="inlineStr">
        <is>
          <t>Paterna (Valencia)</t>
        </is>
      </c>
      <c r="E38" s="8" t="inlineStr">
        <is>
          <t>Clinical Study Coordinator (estudios de nutrición y microbiota); Project Assistant</t>
        </is>
      </c>
      <c r="F38" s="8" t="n"/>
      <c r="G38" s="8" t="n"/>
      <c r="H38" s="7" t="n"/>
      <c r="I38" s="7" t="inlineStr">
        <is>
          <t>Pendiente</t>
        </is>
      </c>
      <c r="J38" s="8" t="inlineStr">
        <is>
          <t>Biotecnológica de microbiota que diseña y coordina estudios clínicos de intervención nutricional. Puerta lateral, pero con coordinación de estudios y GCP reales.</t>
        </is>
      </c>
    </row>
    <row r="39" ht="45.75" customHeight="1">
      <c r="A39" s="10" t="n">
        <v>3</v>
      </c>
      <c r="B39" s="7" t="inlineStr">
        <is>
          <t>Hospital / Instituto</t>
        </is>
      </c>
      <c r="C39" s="8" t="inlineStr">
        <is>
          <t>IIS Aragón — Unidad de Investigación Clínica</t>
        </is>
      </c>
      <c r="D39" s="7" t="inlineStr">
        <is>
          <t>Zaragoza</t>
        </is>
      </c>
      <c r="E39" s="8" t="inlineStr">
        <is>
          <t>Clinical Research Assistant; Técnico de apoyo a la investigación clínica</t>
        </is>
      </c>
      <c r="F39" s="8" t="n"/>
      <c r="G39" s="8" t="n"/>
      <c r="H39" s="7" t="n"/>
      <c r="I39" s="7" t="inlineStr">
        <is>
          <t>Pendiente</t>
        </is>
      </c>
      <c r="J39" s="8" t="inlineStr">
        <is>
          <t>Gestiona TODOS los ensayos clínicos de los hospitales y Atención Primaria de Aragón (más de 500 activos en 2026). Contacto directo con Eva López, coordinadora de la Unidad.</t>
        </is>
      </c>
    </row>
    <row r="40" ht="45.75" customHeight="1">
      <c r="A40" s="10" t="n">
        <v>3</v>
      </c>
      <c r="B40" s="7" t="inlineStr">
        <is>
          <t>Hospital / Instituto</t>
        </is>
      </c>
      <c r="C40" s="8" t="inlineStr">
        <is>
          <t>Hospital Universitario Miguel Servet</t>
        </is>
      </c>
      <c r="D40" s="7" t="inlineStr">
        <is>
          <t>Zaragoza</t>
        </is>
      </c>
      <c r="E40" s="8" t="inlineStr">
        <is>
          <t>Study Coordinator; Clinical Research Assistant (por servicio/investigador)</t>
        </is>
      </c>
      <c r="F40" s="8" t="n"/>
      <c r="G40" s="8" t="n"/>
      <c r="H40" s="7" t="n"/>
      <c r="I40" s="7" t="inlineStr">
        <is>
          <t>Pendiente</t>
        </is>
      </c>
      <c r="J40" s="8" t="inlineStr">
        <is>
          <t>Concentra la mayor parte de los ensayos clínicos de Aragón (&gt;90% junto con Lozano Blesa), especialmente oncología.</t>
        </is>
      </c>
    </row>
    <row r="41" ht="45.75" customHeight="1">
      <c r="A41" s="10" t="n">
        <v>3</v>
      </c>
      <c r="B41" s="7" t="inlineStr">
        <is>
          <t>Hospital / Instituto</t>
        </is>
      </c>
      <c r="C41" s="8" t="inlineStr">
        <is>
          <t>Hospital Clínico Universitario Lozano Blesa</t>
        </is>
      </c>
      <c r="D41" s="7" t="inlineStr">
        <is>
          <t>Zaragoza</t>
        </is>
      </c>
      <c r="E41" s="8" t="inlineStr">
        <is>
          <t>Study Coordinator; Clinical Research Assistant (por servicio/investigador)</t>
        </is>
      </c>
      <c r="F41" s="8" t="n"/>
      <c r="G41" s="8" t="n"/>
      <c r="H41" s="7" t="n"/>
      <c r="I41" s="7" t="inlineStr">
        <is>
          <t>Pendiente</t>
        </is>
      </c>
      <c r="J41" s="8" t="inlineStr">
        <is>
          <t>Segundo gran centro de ensayos clínicos de Aragón; vinculado a la Universidad de Zaragoza.</t>
        </is>
      </c>
    </row>
    <row r="42" ht="45.75" customHeight="1">
      <c r="A42" s="10" t="n">
        <v>3</v>
      </c>
      <c r="B42" s="7" t="inlineStr">
        <is>
          <t>Hospital / Instituto</t>
        </is>
      </c>
      <c r="C42" s="8" t="inlineStr">
        <is>
          <t>Hospital Universitario San Jorge</t>
        </is>
      </c>
      <c r="D42" s="7" t="inlineStr">
        <is>
          <t>Huesca</t>
        </is>
      </c>
      <c r="E42" s="8" t="inlineStr">
        <is>
          <t>Study Coordinator; Research Assistant</t>
        </is>
      </c>
      <c r="F42" s="8" t="n"/>
      <c r="G42" s="8" t="n"/>
      <c r="H42" s="7" t="n"/>
      <c r="I42" s="7" t="inlineStr">
        <is>
          <t>Pendiente</t>
        </is>
      </c>
      <c r="J42" s="8" t="inlineStr">
        <is>
          <t>Centro de referencia de Huesca dentro de la red de IIS Aragón.</t>
        </is>
      </c>
    </row>
    <row r="43" ht="45.75" customHeight="1">
      <c r="A43" s="10" t="n">
        <v>3</v>
      </c>
      <c r="B43" s="7" t="inlineStr">
        <is>
          <t>Hospital / Instituto</t>
        </is>
      </c>
      <c r="C43" s="8" t="inlineStr">
        <is>
          <t>Hospital Obispo Polanco</t>
        </is>
      </c>
      <c r="D43" s="7" t="inlineStr">
        <is>
          <t>Teruel</t>
        </is>
      </c>
      <c r="E43" s="8" t="inlineStr">
        <is>
          <t>Study Coordinator</t>
        </is>
      </c>
      <c r="F43" s="8" t="n"/>
      <c r="G43" s="8" t="n"/>
      <c r="H43" s="7" t="n"/>
      <c r="I43" s="7" t="inlineStr">
        <is>
          <t>Pendiente</t>
        </is>
      </c>
      <c r="J43" s="8" t="inlineStr">
        <is>
          <t>Centro de referencia de Teruel; menor volumen pero menos competencia.</t>
        </is>
      </c>
    </row>
    <row r="44" ht="45.75" customHeight="1">
      <c r="A44" s="10" t="n">
        <v>3</v>
      </c>
      <c r="B44" s="7" t="inlineStr">
        <is>
          <t>Hospital / Instituto</t>
        </is>
      </c>
      <c r="C44" s="8" t="inlineStr">
        <is>
          <t>Atención Primaria Aragón (Sectores Zaragoza I, II y III)</t>
        </is>
      </c>
      <c r="D44" s="7" t="inlineStr">
        <is>
          <t>Zaragoza</t>
        </is>
      </c>
      <c r="E44" s="8" t="inlineStr">
        <is>
          <t>Research Assistant (estudios observacionales / post-autorización)</t>
        </is>
      </c>
      <c r="F44" s="8" t="n"/>
      <c r="G44" s="8" t="n"/>
      <c r="H44" s="7" t="n"/>
      <c r="I44" s="7" t="inlineStr">
        <is>
          <t>Pendiente</t>
        </is>
      </c>
      <c r="J44" s="8" t="inlineStr">
        <is>
          <t>19 estudios activos en 2026; contacto vía responsables de investigación de cada sector.</t>
        </is>
      </c>
    </row>
    <row r="45" ht="45.75" customHeight="1">
      <c r="A45" s="10" t="n">
        <v>3</v>
      </c>
      <c r="B45" s="7" t="inlineStr">
        <is>
          <t>Hospital / Instituto</t>
        </is>
      </c>
      <c r="C45" s="8" t="inlineStr">
        <is>
          <t>Instituto Aragonés de Ciencias de la Salud (IACS)</t>
        </is>
      </c>
      <c r="D45" s="7" t="inlineStr">
        <is>
          <t>Zaragoza</t>
        </is>
      </c>
      <c r="E45" s="8" t="inlineStr">
        <is>
          <t>Técnico de apoyo a proyectos de investigación</t>
        </is>
      </c>
      <c r="F45" s="8" t="n"/>
      <c r="G45" s="8" t="n"/>
      <c r="H45" s="7" t="n"/>
      <c r="I45" s="7" t="inlineStr">
        <is>
          <t>Pendiente</t>
        </is>
      </c>
      <c r="J45" s="8" t="inlineStr">
        <is>
          <t>Forma parte del complejo del IIS Aragón; gestiona formación e innovación en investigación sanitaria.</t>
        </is>
      </c>
    </row>
    <row r="46" ht="45.75" customHeight="1">
      <c r="A46" s="10" t="n">
        <v>3</v>
      </c>
      <c r="B46" s="7" t="inlineStr">
        <is>
          <t>Hospital / Instituto</t>
        </is>
      </c>
      <c r="C46" s="8" t="inlineStr">
        <is>
          <t>Universidad de Zaragoza — grupos de investigación biomédica</t>
        </is>
      </c>
      <c r="D46" s="7" t="inlineStr">
        <is>
          <t>Zaragoza</t>
        </is>
      </c>
      <c r="E46" s="8" t="inlineStr">
        <is>
          <t>Research Assistant; Project Assistant</t>
        </is>
      </c>
      <c r="F46" s="8" t="n"/>
      <c r="G46" s="8" t="n"/>
      <c r="H46" s="7" t="n"/>
      <c r="I46" s="7" t="inlineStr">
        <is>
          <t>Pendiente</t>
        </is>
      </c>
      <c r="J46" s="8" t="inlineStr">
        <is>
          <t>Contacta directamente con investigadores principales (PI) de grupos en oncología, hematología o enfermedades raras; muchas de estas plazas no se publican.</t>
        </is>
      </c>
    </row>
    <row r="47" ht="45.75" customHeight="1">
      <c r="A47" s="10" t="n">
        <v>3</v>
      </c>
      <c r="B47" s="7" t="inlineStr">
        <is>
          <t>Hospital / Instituto</t>
        </is>
      </c>
      <c r="C47" s="8" t="inlineStr">
        <is>
          <t>IdiSNA — Instituto de Investigación Sanitaria de Navarra (Unidad de Ensayos Clínicos)</t>
        </is>
      </c>
      <c r="D47" s="7" t="inlineStr">
        <is>
          <t>Pamplona (Navarra)</t>
        </is>
      </c>
      <c r="E47" s="8" t="inlineStr">
        <is>
          <t>Clinical Research Assistant; Técnico de apoyo a ensayos clínicos; Study Coordinator</t>
        </is>
      </c>
      <c r="F47" s="8" t="n"/>
      <c r="G47" s="8" t="n"/>
      <c r="H47" s="7" t="n"/>
      <c r="I47" s="7" t="inlineStr">
        <is>
          <t>Pendiente</t>
        </is>
      </c>
      <c r="J47" s="8" t="inlineStr">
        <is>
          <t>Estructura que coordina y da soporte operativo a los ensayos clínicos de las ocho instituciones navarras (HUN, CUN, Navarrabiomed, CIMA, UPNA, Universidad de Navarra, ISPLN y SNS-Osasunbidea). Es el equivalente exacto a la Unidad de Investigación Clínica del IIS Aragón: empieza por aquí en Navarra.</t>
        </is>
      </c>
    </row>
    <row r="48" ht="45.75" customHeight="1">
      <c r="A48" s="10" t="n">
        <v>3</v>
      </c>
      <c r="B48" s="7" t="inlineStr">
        <is>
          <t>Hospital / Instituto</t>
        </is>
      </c>
      <c r="C48" s="8" t="inlineStr">
        <is>
          <t>Navarrabiomed — Centro de Investigación Biomédica de Navarra</t>
        </is>
      </c>
      <c r="D48" s="7" t="inlineStr">
        <is>
          <t>Pamplona (Navarra)</t>
        </is>
      </c>
      <c r="E48" s="8" t="inlineStr">
        <is>
          <t>Study Coordinator; Clinical Research Assistant; Técnico de apoyo a la investigación</t>
        </is>
      </c>
      <c r="F48" s="8" t="n"/>
      <c r="G48" s="8" t="n"/>
      <c r="H48" s="7" t="n"/>
      <c r="I48" s="7" t="inlineStr">
        <is>
          <t>Pendiente</t>
        </is>
      </c>
      <c r="J48" s="8" t="inlineStr">
        <is>
          <t>Centro mixto Gobierno de Navarra–UPNA adscrito al Hospital Universitario de Navarra, con servicio propio de ensayos clínicos. Publica convocatorias de personal técnico de apoyo con regularidad: revisa su tablón además de escribir.</t>
        </is>
      </c>
    </row>
    <row r="49" ht="45.75" customHeight="1">
      <c r="A49" s="10" t="n">
        <v>3</v>
      </c>
      <c r="B49" s="7" t="inlineStr">
        <is>
          <t>Hospital / Instituto</t>
        </is>
      </c>
      <c r="C49" s="8" t="inlineStr">
        <is>
          <t>Hospital Universitario de Navarra (HUN) — Servicio Navarro de Salud-Osasunbidea</t>
        </is>
      </c>
      <c r="D49" s="7" t="inlineStr">
        <is>
          <t>Pamplona (Navarra)</t>
        </is>
      </c>
      <c r="E49" s="8" t="inlineStr">
        <is>
          <t>Study Coordinator; Clinical Research Assistant (por servicio / investigador)</t>
        </is>
      </c>
      <c r="F49" s="8" t="n"/>
      <c r="G49" s="8" t="n"/>
      <c r="H49" s="7" t="n"/>
      <c r="I49" s="7" t="inlineStr">
        <is>
          <t>Pendiente</t>
        </is>
      </c>
      <c r="J49" s="8" t="inlineStr">
        <is>
          <t>Hospital público de referencia de Navarra y sede de IdiSNA. Como en Zaragoza, muchas plazas salen por servicio: escribe también a Hematología y Oncología, no solo a la vía institucional.</t>
        </is>
      </c>
    </row>
    <row r="50" ht="45.75" customHeight="1">
      <c r="A50" s="10" t="n">
        <v>3</v>
      </c>
      <c r="B50" s="7" t="inlineStr">
        <is>
          <t>Hospital / Instituto</t>
        </is>
      </c>
      <c r="C50" s="8" t="inlineStr">
        <is>
          <t>Clínica Universidad de Navarra (CUN)</t>
        </is>
      </c>
      <c r="D50" s="7" t="inlineStr">
        <is>
          <t>Pamplona (Navarra) / Madrid</t>
        </is>
      </c>
      <c r="E50" s="8" t="inlineStr">
        <is>
          <t>Study Coordinator; Clinical Trial Assistant; Data Manager</t>
        </is>
      </c>
      <c r="F50" s="8" t="n"/>
      <c r="G50" s="8" t="n"/>
      <c r="H50" s="7" t="n"/>
      <c r="I50" s="7" t="inlineStr">
        <is>
          <t>Pendiente</t>
        </is>
      </c>
      <c r="J50" s="8" t="inlineStr">
        <is>
          <t>Uno de los centros privados más activos de España en ensayos clínicos, con unidad de fase I y programas de CAR-T, hematología y oncología. Muy alineado con tu experiencia en Hematología; es tu objetivo nº1 en Navarra junto con IdiSNA.</t>
        </is>
      </c>
    </row>
    <row r="51" ht="45.75" customHeight="1">
      <c r="A51" s="10" t="n">
        <v>3</v>
      </c>
      <c r="B51" s="7" t="inlineStr">
        <is>
          <t>Hospital / Instituto</t>
        </is>
      </c>
      <c r="C51" s="8" t="inlineStr">
        <is>
          <t>CIMA Universidad de Navarra</t>
        </is>
      </c>
      <c r="D51" s="7" t="inlineStr">
        <is>
          <t>Pamplona (Navarra)</t>
        </is>
      </c>
      <c r="E51" s="8" t="inlineStr">
        <is>
          <t>Research Assistant; Clinical Project Assistant; Técnico de proyectos</t>
        </is>
      </c>
      <c r="F51" s="8" t="n"/>
      <c r="G51" s="8" t="n"/>
      <c r="H51" s="7" t="n"/>
      <c r="I51" s="7" t="inlineStr">
        <is>
          <t>Pendiente</t>
        </is>
      </c>
      <c r="J51" s="8" t="inlineStr">
        <is>
          <t>Centro de Investigación Médica Aplicada: más de 400 profesionales en oncología, hematología, terapia génica y enfermedades raras, en sinergia con la CUN y el HUN dentro de IdiSNA.</t>
        </is>
      </c>
    </row>
    <row r="52" ht="45.75" customHeight="1">
      <c r="A52" s="10" t="n">
        <v>3</v>
      </c>
      <c r="B52" s="7" t="inlineStr">
        <is>
          <t>Hospital / Instituto</t>
        </is>
      </c>
      <c r="C52" s="8" t="inlineStr">
        <is>
          <t>Universidad Pública de Navarra (UPNA) y Universidad de Navarra — grupos biomédicos</t>
        </is>
      </c>
      <c r="D52" s="7" t="inlineStr">
        <is>
          <t>Pamplona (Navarra)</t>
        </is>
      </c>
      <c r="E52" s="8" t="inlineStr">
        <is>
          <t>Research Assistant; Project Assistant</t>
        </is>
      </c>
      <c r="F52" s="8" t="n"/>
      <c r="G52" s="8" t="n"/>
      <c r="H52" s="7" t="n"/>
      <c r="I52" s="7" t="inlineStr">
        <is>
          <t>Pendiente</t>
        </is>
      </c>
      <c r="J52" s="8" t="inlineStr">
        <is>
          <t>Contacta directamente con los investigadores principales; igual que en Unizar, muchas plazas de apoyo nunca se publican.</t>
        </is>
      </c>
    </row>
    <row r="53" ht="45.75" customHeight="1">
      <c r="A53" s="10" t="n">
        <v>3</v>
      </c>
      <c r="B53" s="7" t="inlineStr">
        <is>
          <t>Hospital / Instituto</t>
        </is>
      </c>
      <c r="C53" s="8" t="inlineStr">
        <is>
          <t>Hospital Reina Sofía de Tudela y Hospital García Orcoyen (Estella) — SNS-O</t>
        </is>
      </c>
      <c r="D53" s="7" t="inlineStr">
        <is>
          <t>Tudela / Estella (Navarra)</t>
        </is>
      </c>
      <c r="E53" s="8" t="inlineStr">
        <is>
          <t>Study Coordinator; Research Assistant</t>
        </is>
      </c>
      <c r="F53" s="8" t="n"/>
      <c r="G53" s="8" t="n"/>
      <c r="H53" s="7" t="n"/>
      <c r="I53" s="7" t="inlineStr">
        <is>
          <t>Pendiente</t>
        </is>
      </c>
      <c r="J53" s="8" t="inlineStr">
        <is>
          <t>Hospitales comarcales del Servicio Navarro de Salud: menos volumen de ensayos, pero también mucha menos competencia. Misma estrategia que con Huesca y Teruel.</t>
        </is>
      </c>
    </row>
    <row r="54" ht="45.75" customHeight="1">
      <c r="A54" s="10" t="n">
        <v>3</v>
      </c>
      <c r="B54" s="7" t="inlineStr">
        <is>
          <t>Hospital / Instituto</t>
        </is>
      </c>
      <c r="C54" s="8" t="inlineStr">
        <is>
          <t>Instituto de Salud Pública y Laboral de Navarra (ISPLN)</t>
        </is>
      </c>
      <c r="D54" s="7" t="inlineStr">
        <is>
          <t>Pamplona (Navarra)</t>
        </is>
      </c>
      <c r="E54" s="8" t="inlineStr">
        <is>
          <t>Research Assistant (estudios epidemiológicos y observacionales)</t>
        </is>
      </c>
      <c r="F54" s="8" t="n"/>
      <c r="G54" s="8" t="n"/>
      <c r="H54" s="7" t="n"/>
      <c r="I54" s="7" t="inlineStr">
        <is>
          <t>Pendiente</t>
        </is>
      </c>
      <c r="J54" s="8" t="inlineStr">
        <is>
          <t>Miembro de IdiSNA; estudios poblacionales, de vigilancia y post-autorización. Es el equivalente navarro al bloque de Atención Primaria de Aragón.</t>
        </is>
      </c>
    </row>
    <row r="55" ht="45.75" customHeight="1">
      <c r="A55" s="10" t="n">
        <v>3</v>
      </c>
      <c r="B55" s="7" t="inlineStr">
        <is>
          <t>Hospital / Instituto</t>
        </is>
      </c>
      <c r="C55" s="8" t="inlineStr">
        <is>
          <t>IIS Biobizkaia (antes Biocruces Bizkaia) — Hospital Universitario Cruces</t>
        </is>
      </c>
      <c r="D55" s="7" t="inlineStr">
        <is>
          <t>Barakaldo (Bizkaia, País Vasco)</t>
        </is>
      </c>
      <c r="E55" s="8" t="inlineStr">
        <is>
          <t>Study Coordinator; Clinical Research Assistant; Data Manager</t>
        </is>
      </c>
      <c r="F55" s="8" t="n"/>
      <c r="G55" s="8" t="n"/>
      <c r="H55" s="7" t="n"/>
      <c r="I55" s="7" t="inlineStr">
        <is>
          <t>Pendiente</t>
        </is>
      </c>
      <c r="J55" s="8" t="inlineStr">
        <is>
          <t>El instituto con más actividad investigadora de Euskadi: ~400 proyectos y más de 120 ensayos clínicos solo en enfermedades neurodegenerativas. Muy fuerte en pediatría, enfermedades raras y oncología. Tu primera puerta en el País Vasco.</t>
        </is>
      </c>
    </row>
    <row r="56" ht="45.75" customHeight="1">
      <c r="A56" s="10" t="n">
        <v>3</v>
      </c>
      <c r="B56" s="7" t="inlineStr">
        <is>
          <t>Hospital / Instituto</t>
        </is>
      </c>
      <c r="C56" s="8" t="inlineStr">
        <is>
          <t>IIS Biogipuzkoa (Biodonostia) — Hospital Universitario Donostia</t>
        </is>
      </c>
      <c r="D56" s="7" t="inlineStr">
        <is>
          <t>San Sebastián (Gipuzkoa, País Vasco)</t>
        </is>
      </c>
      <c r="E56" s="8" t="inlineStr">
        <is>
          <t>Study Coordinator; Clinical Research Assistant</t>
        </is>
      </c>
      <c r="F56" s="8" t="n"/>
      <c r="G56" s="8" t="n"/>
      <c r="H56" s="7" t="n"/>
      <c r="I56" s="7" t="inlineStr">
        <is>
          <t>Pendiente</t>
        </is>
      </c>
      <c r="J56" s="8" t="inlineStr">
        <is>
          <t>Instituto acreditado por el ISCIII junto al Hospital Universitario Donostia; líneas fuertes en oncología, neurociencias y enfermedades raras. Conectado con el polo de terapias avanzadas de Gipuzkoa.</t>
        </is>
      </c>
    </row>
    <row r="57" ht="45.75" customHeight="1">
      <c r="A57" s="10" t="n">
        <v>3</v>
      </c>
      <c r="B57" s="7" t="inlineStr">
        <is>
          <t>Hospital / Instituto</t>
        </is>
      </c>
      <c r="C57" s="8" t="inlineStr">
        <is>
          <t>IIS Bioaraba — Hospital Universitario Araba</t>
        </is>
      </c>
      <c r="D57" s="7" t="inlineStr">
        <is>
          <t>Vitoria-Gasteiz (Álava, País Vasco)</t>
        </is>
      </c>
      <c r="E57" s="8" t="inlineStr">
        <is>
          <t>Study Coordinator; Research Assistant; Técnico de apoyo a la investigación</t>
        </is>
      </c>
      <c r="F57" s="8" t="n"/>
      <c r="G57" s="8" t="n"/>
      <c r="H57" s="7" t="n"/>
      <c r="I57" s="7" t="inlineStr">
        <is>
          <t>Pendiente</t>
        </is>
      </c>
      <c r="J57" s="8" t="inlineStr">
        <is>
          <t>Tercer instituto de investigación sanitaria de Osakidetza. Menos saturado de candidaturas que Bizkaia y Gipuzkoa: buena relación esfuerzo/probabilidad.</t>
        </is>
      </c>
    </row>
    <row r="58" ht="45.75" customHeight="1">
      <c r="A58" s="10" t="n">
        <v>3</v>
      </c>
      <c r="B58" s="7" t="inlineStr">
        <is>
          <t>Hospital / Instituto</t>
        </is>
      </c>
      <c r="C58" s="8" t="inlineStr">
        <is>
          <t>Osakidetza — Servicio Vasco de Salud (bolsa de trabajo y OSIs)</t>
        </is>
      </c>
      <c r="D58" s="7" t="inlineStr">
        <is>
          <t>Bilbao / San Sebastián / Vitoria-Gasteiz (País Vasco)</t>
        </is>
      </c>
      <c r="E58" s="8" t="inlineStr">
        <is>
          <t>Técnico de apoyo a la investigación; Research Assistant</t>
        </is>
      </c>
      <c r="F58" s="8" t="n"/>
      <c r="G58" s="8" t="n"/>
      <c r="H58" s="7" t="n"/>
      <c r="I58" s="7" t="inlineStr">
        <is>
          <t>Pendiente</t>
        </is>
      </c>
      <c r="J58" s="8" t="inlineStr">
        <is>
          <t>Los tres institutos (Bioaraba, Biobizkaia y Biogipuzkoa) dependen de Osakidetza y del Departamento de Salud. Inscríbete en la bolsa de trabajo además de contactar directamente con los institutos: son dos vías paralelas.</t>
        </is>
      </c>
    </row>
    <row r="59" ht="45.75" customHeight="1">
      <c r="A59" s="10" t="n">
        <v>3</v>
      </c>
      <c r="B59" s="7" t="inlineStr">
        <is>
          <t>Hospital / Instituto</t>
        </is>
      </c>
      <c r="C59" s="8" t="inlineStr">
        <is>
          <t>BIOEF — Fundación Vasca de Innovación e Investigación Sanitarias</t>
        </is>
      </c>
      <c r="D59" s="7" t="inlineStr">
        <is>
          <t>Barakaldo (Bizkaia, País Vasco)</t>
        </is>
      </c>
      <c r="E59" s="8" t="inlineStr">
        <is>
          <t>Técnico de apoyo a proyectos; Project Assistant; Gestor de investigación</t>
        </is>
      </c>
      <c r="F59" s="8" t="n"/>
      <c r="G59" s="8" t="n"/>
      <c r="H59" s="7" t="n"/>
      <c r="I59" s="7" t="inlineStr">
        <is>
          <t>Pendiente</t>
        </is>
      </c>
      <c r="J59" s="8" t="inlineStr">
        <is>
          <t>Fundación que gestiona y formaliza buena parte de las contrataciones de personal investigador de Osakidetza. Es el equivalente vasco del IACS en Aragón: revisa sus convocatorias.</t>
        </is>
      </c>
    </row>
    <row r="60" ht="45.75" customHeight="1">
      <c r="A60" s="10" t="n">
        <v>3</v>
      </c>
      <c r="B60" s="7" t="inlineStr">
        <is>
          <t>Hospital / Instituto</t>
        </is>
      </c>
      <c r="C60" s="8" t="inlineStr">
        <is>
          <t>Onkologikoa — Instituto Oncológico de Gipuzkoa</t>
        </is>
      </c>
      <c r="D60" s="7" t="inlineStr">
        <is>
          <t>San Sebastián (Gipuzkoa, País Vasco)</t>
        </is>
      </c>
      <c r="E60" s="8" t="inlineStr">
        <is>
          <t>Study Coordinator (oncología); Clinical Research Assistant</t>
        </is>
      </c>
      <c r="F60" s="8" t="n"/>
      <c r="G60" s="8" t="n"/>
      <c r="H60" s="7" t="n"/>
      <c r="I60" s="7" t="inlineStr">
        <is>
          <t>Pendiente</t>
        </is>
      </c>
      <c r="J60" s="8" t="inlineStr">
        <is>
          <t>Centro monográfico de oncología integrado en la red de Osakidetza, con ensayos clínicos propios. Encaje directo con tu experiencia en oncohematología.</t>
        </is>
      </c>
    </row>
    <row r="61" ht="45.75" customHeight="1">
      <c r="A61" s="10" t="n">
        <v>3</v>
      </c>
      <c r="B61" s="7" t="inlineStr">
        <is>
          <t>Hospital / Instituto</t>
        </is>
      </c>
      <c r="C61" s="8" t="inlineStr">
        <is>
          <t>Hospitales Universitarios Basurto y Galdakao-Usansolo (Osakidetza)</t>
        </is>
      </c>
      <c r="D61" s="7" t="inlineStr">
        <is>
          <t>Bilbao / Galdakao (Bizkaia, País Vasco)</t>
        </is>
      </c>
      <c r="E61" s="8" t="inlineStr">
        <is>
          <t>Study Coordinator; Research Assistant (por servicio / investigador)</t>
        </is>
      </c>
      <c r="F61" s="8" t="n"/>
      <c r="G61" s="8" t="n"/>
      <c r="H61" s="7" t="n"/>
      <c r="I61" s="7" t="inlineStr">
        <is>
          <t>Pendiente</t>
        </is>
      </c>
      <c r="J61" s="8" t="inlineStr">
        <is>
          <t>Centros con actividad de ensayos dentro del paraguas de IIS Biobizkaia. Contacto por servicio e investigador principal, igual que en Miguel Servet o Lozano Blesa.</t>
        </is>
      </c>
    </row>
    <row r="62" ht="45.75" customHeight="1">
      <c r="A62" s="10" t="n">
        <v>3</v>
      </c>
      <c r="B62" s="7" t="inlineStr">
        <is>
          <t>Hospital / Instituto</t>
        </is>
      </c>
      <c r="C62" s="8" t="inlineStr">
        <is>
          <t>CIC bioGUNE</t>
        </is>
      </c>
      <c r="D62" s="7" t="inlineStr">
        <is>
          <t>Derio (Bizkaia, País Vasco)</t>
        </is>
      </c>
      <c r="E62" s="8" t="inlineStr">
        <is>
          <t>Research Assistant; Project Assistant</t>
        </is>
      </c>
      <c r="F62" s="8" t="n"/>
      <c r="G62" s="8" t="n"/>
      <c r="H62" s="7" t="n"/>
      <c r="I62" s="7" t="inlineStr">
        <is>
          <t>Pendiente</t>
        </is>
      </c>
      <c r="J62" s="8" t="inlineStr">
        <is>
          <t>Centro de excelencia en biociencias (proteómica, metabolómica, enfermedades raras). Más básico que clínico, pero buena vía si buscas apoyo a proyectos mientras esperas una plaza clínica.</t>
        </is>
      </c>
    </row>
    <row r="63" ht="45.75" customHeight="1">
      <c r="A63" s="10" t="n">
        <v>3</v>
      </c>
      <c r="B63" s="7" t="inlineStr">
        <is>
          <t>Hospital / Instituto</t>
        </is>
      </c>
      <c r="C63" s="8" t="inlineStr">
        <is>
          <t>UPV/EHU — grupos de investigación biomédica</t>
        </is>
      </c>
      <c r="D63" s="7" t="inlineStr">
        <is>
          <t>Leioa / San Sebastián / Vitoria-Gasteiz (País Vasco)</t>
        </is>
      </c>
      <c r="E63" s="8" t="inlineStr">
        <is>
          <t>Research Assistant; Project Assistant</t>
        </is>
      </c>
      <c r="F63" s="8" t="n"/>
      <c r="G63" s="8" t="n"/>
      <c r="H63" s="7" t="n"/>
      <c r="I63" s="7" t="inlineStr">
        <is>
          <t>Pendiente</t>
        </is>
      </c>
      <c r="J63" s="8" t="inlineStr">
        <is>
          <t>Contacto directo con los PI de oncología, hematología y enfermedades raras. Misma lógica que con la Universidad de Zaragoza: estas plazas casi nunca se publican.</t>
        </is>
      </c>
    </row>
    <row r="64" ht="45.75" customHeight="1">
      <c r="A64" s="10" t="n">
        <v>3</v>
      </c>
      <c r="B64" s="7" t="inlineStr">
        <is>
          <t>Hospital / Instituto</t>
        </is>
      </c>
      <c r="C64" s="8" t="inlineStr">
        <is>
          <t>Quirónsalud País Vasco (Policlínica Gipuzkoa, Hospital Quirónsalud Bizkaia, Hospital Quirónsalud Vitoria)</t>
        </is>
      </c>
      <c r="D64" s="7" t="inlineStr">
        <is>
          <t>San Sebastián / Erandio / Vitoria-Gasteiz (País Vasco)</t>
        </is>
      </c>
      <c r="E64" s="8" t="inlineStr">
        <is>
          <t>Study Coordinator; Clinical Research Assistant</t>
        </is>
      </c>
      <c r="F64" s="8" t="n"/>
      <c r="G64" s="8" t="n"/>
      <c r="H64" s="7" t="n"/>
      <c r="I64" s="7" t="inlineStr">
        <is>
          <t>Pendiente</t>
        </is>
      </c>
      <c r="J64" s="8" t="inlineStr">
        <is>
          <t>TU MEJOR CARTA INTERNA: ya has trabajado en Quirónsalud. Pide a tus antiguos responsables de Zaragoza que te presenten a los equipos de investigación del grupo en el norte — una referencia interna vale más que veinte candidaturas.</t>
        </is>
      </c>
    </row>
    <row r="65" ht="45.75" customHeight="1">
      <c r="A65" s="10" t="n">
        <v>3</v>
      </c>
      <c r="B65" s="7" t="inlineStr">
        <is>
          <t>Hospital / Instituto</t>
        </is>
      </c>
      <c r="C65" s="8" t="inlineStr">
        <is>
          <t>CIBIR — Centro de Investigación Biomédica de La Rioja</t>
        </is>
      </c>
      <c r="D65" s="7" t="inlineStr">
        <is>
          <t>Logroño (La Rioja)</t>
        </is>
      </c>
      <c r="E65" s="8" t="inlineStr">
        <is>
          <t>Clinical Research Assistant; Técnico de apoyo a la investigación clínica; Study Coordinator</t>
        </is>
      </c>
      <c r="F65" s="8" t="n"/>
      <c r="G65" s="8" t="n"/>
      <c r="H65" s="7" t="n"/>
      <c r="I65" s="7" t="inlineStr">
        <is>
          <t>Pendiente</t>
        </is>
      </c>
      <c r="J65" s="8" t="inlineStr">
        <is>
          <t>Centro de investigación de la Fundación Rioja Salud y nodo de todo lo que se mueve en La Rioja. Alberga la nueva unidad de ensayos fase I en oncología (con START), lo que multiplica la necesidad de coordinadores.</t>
        </is>
      </c>
    </row>
    <row r="66" ht="45.75" customHeight="1">
      <c r="A66" s="10" t="n">
        <v>3</v>
      </c>
      <c r="B66" s="7" t="inlineStr">
        <is>
          <t>Hospital / Instituto</t>
        </is>
      </c>
      <c r="C66" s="8" t="inlineStr">
        <is>
          <t>Fundación Rioja Salud</t>
        </is>
      </c>
      <c r="D66" s="7" t="inlineStr">
        <is>
          <t>Logroño (La Rioja)</t>
        </is>
      </c>
      <c r="E66" s="8" t="inlineStr">
        <is>
          <t>Técnico de apoyo a proyectos; Gestor de ensayos clínicos; Research Assistant</t>
        </is>
      </c>
      <c r="F66" s="8" t="n"/>
      <c r="G66" s="8" t="n"/>
      <c r="H66" s="7" t="n"/>
      <c r="I66" s="7" t="inlineStr">
        <is>
          <t>Pendiente</t>
        </is>
      </c>
      <c r="J66" s="8" t="inlineStr">
        <is>
          <t>Entidad que gestiona la investigación del sistema público riojano y que formaliza las contrataciones del CIBIR. Revisa su tablón de convocatorias: es la vía administrativa obligada.</t>
        </is>
      </c>
    </row>
    <row r="67" ht="45.75" customHeight="1">
      <c r="A67" s="10" t="n">
        <v>3</v>
      </c>
      <c r="B67" s="7" t="inlineStr">
        <is>
          <t>Hospital / Instituto</t>
        </is>
      </c>
      <c r="C67" s="8" t="inlineStr">
        <is>
          <t>Hospital Universitario San Pedro</t>
        </is>
      </c>
      <c r="D67" s="7" t="inlineStr">
        <is>
          <t>Logroño (La Rioja)</t>
        </is>
      </c>
      <c r="E67" s="8" t="inlineStr">
        <is>
          <t>Study Coordinator; Clinical Research Assistant (por servicio / investigador)</t>
        </is>
      </c>
      <c r="F67" s="8" t="n"/>
      <c r="G67" s="8" t="n"/>
      <c r="H67" s="7" t="n"/>
      <c r="I67" s="7" t="inlineStr">
        <is>
          <t>Pendiente</t>
        </is>
      </c>
      <c r="J67" s="8" t="inlineStr">
        <is>
          <t>Hospital de referencia de La Rioja; hace investigación básica, clínica, epidemiológica y ensayos en colaboración con la Fundación Rioja Salud y el CIBIR.</t>
        </is>
      </c>
    </row>
    <row r="68" ht="45.75" customHeight="1">
      <c r="A68" s="10" t="n">
        <v>3</v>
      </c>
      <c r="B68" s="7" t="inlineStr">
        <is>
          <t>Hospital / Instituto</t>
        </is>
      </c>
      <c r="C68" s="8" t="inlineStr">
        <is>
          <t>Fundación Hospital Calahorra</t>
        </is>
      </c>
      <c r="D68" s="7" t="inlineStr">
        <is>
          <t>Calahorra (La Rioja)</t>
        </is>
      </c>
      <c r="E68" s="8" t="inlineStr">
        <is>
          <t>Study Coordinator; Research Assistant</t>
        </is>
      </c>
      <c r="F68" s="8" t="n"/>
      <c r="G68" s="8" t="n"/>
      <c r="H68" s="7" t="n"/>
      <c r="I68" s="7" t="inlineStr">
        <is>
          <t>Pendiente</t>
        </is>
      </c>
      <c r="J68" s="8" t="inlineStr">
        <is>
          <t>Segundo hospital riojano: poco volumen y poquísima competencia. Es el equivalente al Obispo Polanco de Teruel en tu lista actual.</t>
        </is>
      </c>
    </row>
    <row r="69" ht="45.75" customHeight="1">
      <c r="A69" s="10" t="n">
        <v>3</v>
      </c>
      <c r="B69" s="7" t="inlineStr">
        <is>
          <t>Hospital / Instituto</t>
        </is>
      </c>
      <c r="C69" s="8" t="inlineStr">
        <is>
          <t>Universidad de La Rioja — grupos de investigación biomédica</t>
        </is>
      </c>
      <c r="D69" s="7" t="inlineStr">
        <is>
          <t>Logroño (La Rioja)</t>
        </is>
      </c>
      <c r="E69" s="8" t="inlineStr">
        <is>
          <t>Research Assistant; Project Assistant</t>
        </is>
      </c>
      <c r="F69" s="8" t="n"/>
      <c r="G69" s="8" t="n"/>
      <c r="H69" s="7" t="n"/>
      <c r="I69" s="7" t="inlineStr">
        <is>
          <t>Pendiente</t>
        </is>
      </c>
      <c r="J69" s="8" t="inlineStr">
        <is>
          <t>Colabora con el CIBIR y el Hospital San Pedro (por ejemplo, en biomarcadores de cáncer colorrectal). Contacto directo con los investigadores principales.</t>
        </is>
      </c>
    </row>
    <row r="70" ht="45.75" customHeight="1">
      <c r="A70" s="10" t="n">
        <v>3</v>
      </c>
      <c r="B70" s="7" t="inlineStr">
        <is>
          <t>Hospital / Instituto</t>
        </is>
      </c>
      <c r="C70" s="8" t="inlineStr">
        <is>
          <t>Rioja Salud (SERIS) — Atención Primaria</t>
        </is>
      </c>
      <c r="D70" s="7" t="inlineStr">
        <is>
          <t>Logroño (La Rioja)</t>
        </is>
      </c>
      <c r="E70" s="8" t="inlineStr">
        <is>
          <t>Research Assistant (estudios observacionales y post-autorización)</t>
        </is>
      </c>
      <c r="F70" s="8" t="n"/>
      <c r="G70" s="8" t="n"/>
      <c r="H70" s="7" t="n"/>
      <c r="I70" s="7" t="inlineStr">
        <is>
          <t>Pendiente</t>
        </is>
      </c>
      <c r="J70" s="8" t="inlineStr">
        <is>
          <t>Vía pública para estudios observacionales; contacta con los responsables de investigación de Atención Primaria. Análogo a los Sectores de Zaragoza I, II y III.</t>
        </is>
      </c>
    </row>
    <row r="71" ht="45.75" customHeight="1">
      <c r="A71" s="10" t="n">
        <v>3</v>
      </c>
      <c r="B71" s="7" t="inlineStr">
        <is>
          <t>Hospital / Instituto</t>
        </is>
      </c>
      <c r="C71" s="8" t="inlineStr">
        <is>
          <t>UNIR — Universidad Internacional de La Rioja (Facultad de Ciencias de la Salud)</t>
        </is>
      </c>
      <c r="D71" s="7" t="inlineStr">
        <is>
          <t>Logroño (La Rioja)</t>
        </is>
      </c>
      <c r="E71" s="8" t="inlineStr">
        <is>
          <t>Project Assistant; Research Support</t>
        </is>
      </c>
      <c r="F71" s="8" t="n"/>
      <c r="G71" s="8" t="n"/>
      <c r="H71" s="7" t="n"/>
      <c r="I71" s="7" t="inlineStr">
        <is>
          <t>Pendiente</t>
        </is>
      </c>
      <c r="J71" s="8" t="inlineStr">
        <is>
          <t>Sede en Logroño con facultad de Ciencias de la Salud y grupos de investigación propios. Útil como apoyo a proyectos si la vía hospitalaria riojana se atasca.</t>
        </is>
      </c>
    </row>
    <row r="72" ht="45.75" customHeight="1">
      <c r="A72" s="10" t="n">
        <v>3</v>
      </c>
      <c r="B72" s="7" t="inlineStr">
        <is>
          <t>Hospital / Instituto</t>
        </is>
      </c>
      <c r="C72" s="8" t="inlineStr">
        <is>
          <t>INCLIVA — Instituto de Investigación Sanitaria (Hospital Clínico Universitario de València)</t>
        </is>
      </c>
      <c r="D72" s="7" t="inlineStr">
        <is>
          <t>Valencia</t>
        </is>
      </c>
      <c r="E72" s="8" t="inlineStr">
        <is>
          <t>Study Coordinator; Clinical Research Assistant; Data Manager</t>
        </is>
      </c>
      <c r="F72" s="8" t="n"/>
      <c r="G72" s="8" t="n"/>
      <c r="H72" s="7" t="n"/>
      <c r="I72" s="7" t="inlineStr">
        <is>
          <t>Pendiente</t>
        </is>
      </c>
      <c r="J72" s="8" t="inlineStr">
        <is>
          <t>Alberga la Unidad de Ensayos Clínicos Fase I Oncológicos, creada en 2004 y pionera en España (más de 200 ensayos y 1.100 pacientes). Es el destino más potente de toda la Comunitat para tu perfil: prioridad absoluta en Valencia.</t>
        </is>
      </c>
    </row>
    <row r="73" ht="45.75" customHeight="1">
      <c r="A73" s="10" t="n">
        <v>3</v>
      </c>
      <c r="B73" s="7" t="inlineStr">
        <is>
          <t>Hospital / Instituto</t>
        </is>
      </c>
      <c r="C73" s="8" t="inlineStr">
        <is>
          <t>IIS La Fe — Hospital Universitari i Politècnic La Fe</t>
        </is>
      </c>
      <c r="D73" s="7" t="inlineStr">
        <is>
          <t>Valencia</t>
        </is>
      </c>
      <c r="E73" s="8" t="inlineStr">
        <is>
          <t>Study Coordinator; Clinical Research Assistant; Técnico de apoyo a ensayos</t>
        </is>
      </c>
      <c r="F73" s="8" t="n"/>
      <c r="G73" s="8" t="n"/>
      <c r="H73" s="7" t="n"/>
      <c r="I73" s="7" t="inlineStr">
        <is>
          <t>Pendiente</t>
        </is>
      </c>
      <c r="J73" s="8" t="inlineStr">
        <is>
          <t>Referencia nacional en hematología, oncohematología pediátrica, terapias avanzadas y enfermedades raras, con unidad central de ensayos clínicos. Encaje directísimo con tu experiencia en Hematología y Enfermedades Raras.</t>
        </is>
      </c>
    </row>
    <row r="74" ht="45.75" customHeight="1">
      <c r="A74" s="10" t="n">
        <v>3</v>
      </c>
      <c r="B74" s="7" t="inlineStr">
        <is>
          <t>Hospital / Instituto</t>
        </is>
      </c>
      <c r="C74" s="8" t="inlineStr">
        <is>
          <t>Fundación Instituto Valenciano de Oncología (IVO)</t>
        </is>
      </c>
      <c r="D74" s="7" t="inlineStr">
        <is>
          <t>Valencia</t>
        </is>
      </c>
      <c r="E74" s="8" t="inlineStr">
        <is>
          <t>Study Coordinator (oncología); Clinical Research Assistant</t>
        </is>
      </c>
      <c r="F74" s="8" t="n"/>
      <c r="G74" s="8" t="n"/>
      <c r="H74" s="7" t="n"/>
      <c r="I74" s="7" t="inlineStr">
        <is>
          <t>Pendiente</t>
        </is>
      </c>
      <c r="J74" s="8" t="inlineStr">
        <is>
          <t>Centro monográfico oncológico con unidad de ensayos clínicos propia y reconocimiento OECI. Estructura privada sin ánimo de lucro: procesos más ágiles que los públicos.</t>
        </is>
      </c>
    </row>
    <row r="75" ht="45.75" customHeight="1">
      <c r="A75" s="10" t="n">
        <v>3</v>
      </c>
      <c r="B75" s="7" t="inlineStr">
        <is>
          <t>Hospital / Instituto</t>
        </is>
      </c>
      <c r="C75" s="8" t="inlineStr">
        <is>
          <t>FISABIO — Fundación para el Fomento de la Investigación Sanitaria y Biomédica de la C. Valenciana</t>
        </is>
      </c>
      <c r="D75" s="7" t="inlineStr">
        <is>
          <t>Valencia</t>
        </is>
      </c>
      <c r="E75" s="8" t="inlineStr">
        <is>
          <t>Técnico de apoyo a la investigación; Clinical Research Assistant</t>
        </is>
      </c>
      <c r="F75" s="8" t="n"/>
      <c r="G75" s="8" t="n"/>
      <c r="H75" s="7" t="n"/>
      <c r="I75" s="7" t="inlineStr">
        <is>
          <t>Pendiente</t>
        </is>
      </c>
      <c r="J75" s="8" t="inlineStr">
        <is>
          <t>Fundación de la Generalitat que gestiona la investigación de varios departamentos de salud (entre ellos el Hospital Dr. Peset). Muchísimas contrataciones de investigación valencianas pasan por sus convocatorias públicas.</t>
        </is>
      </c>
    </row>
    <row r="76" ht="45.75" customHeight="1">
      <c r="A76" s="10" t="n">
        <v>3</v>
      </c>
      <c r="B76" s="7" t="inlineStr">
        <is>
          <t>Hospital / Instituto</t>
        </is>
      </c>
      <c r="C76" s="8" t="inlineStr">
        <is>
          <t>Fundación Investigación Hospital General Universitario de València</t>
        </is>
      </c>
      <c r="D76" s="7" t="inlineStr">
        <is>
          <t>Valencia</t>
        </is>
      </c>
      <c r="E76" s="8" t="inlineStr">
        <is>
          <t>Study Coordinator; Research Assistant</t>
        </is>
      </c>
      <c r="F76" s="8" t="n"/>
      <c r="G76" s="8" t="n"/>
      <c r="H76" s="7" t="n"/>
      <c r="I76" s="7" t="inlineStr">
        <is>
          <t>Pendiente</t>
        </is>
      </c>
      <c r="J76" s="8" t="inlineStr">
        <is>
          <t>Fundación de investigación del Hospital General; ensayos clínicos gestionados por servicio. Menos competencia que INCLIVA o La Fe.</t>
        </is>
      </c>
    </row>
    <row r="77" ht="45.75" customHeight="1">
      <c r="A77" s="10" t="n">
        <v>3</v>
      </c>
      <c r="B77" s="7" t="inlineStr">
        <is>
          <t>Hospital / Instituto</t>
        </is>
      </c>
      <c r="C77" s="8" t="inlineStr">
        <is>
          <t>Centro de Investigación Príncipe Felipe (CIPF)</t>
        </is>
      </c>
      <c r="D77" s="7" t="inlineStr">
        <is>
          <t>Valencia</t>
        </is>
      </c>
      <c r="E77" s="8" t="inlineStr">
        <is>
          <t>Research Assistant; Project Assistant</t>
        </is>
      </c>
      <c r="F77" s="8" t="n"/>
      <c r="G77" s="8" t="n"/>
      <c r="H77" s="7" t="n"/>
      <c r="I77" s="7" t="inlineStr">
        <is>
          <t>Pendiente</t>
        </is>
      </c>
      <c r="J77" s="8" t="inlineStr">
        <is>
          <t>Centro traslacional fuerte en enfermedades raras, neurodegeneración y terapias avanzadas; colabora con La Fe e INCLIVA.</t>
        </is>
      </c>
    </row>
    <row r="78" ht="45.75" customHeight="1">
      <c r="A78" s="10" t="n">
        <v>3</v>
      </c>
      <c r="B78" s="7" t="inlineStr">
        <is>
          <t>Hospital / Instituto</t>
        </is>
      </c>
      <c r="C78" s="8" t="inlineStr">
        <is>
          <t>Instituto de Biomedicina de Valencia (IBV-CSIC)</t>
        </is>
      </c>
      <c r="D78" s="7" t="inlineStr">
        <is>
          <t>Valencia</t>
        </is>
      </c>
      <c r="E78" s="8" t="inlineStr">
        <is>
          <t>Research Assistant; Project Assistant</t>
        </is>
      </c>
      <c r="F78" s="8" t="n"/>
      <c r="G78" s="8" t="n"/>
      <c r="H78" s="7" t="n"/>
      <c r="I78" s="7" t="inlineStr">
        <is>
          <t>Pendiente</t>
        </is>
      </c>
      <c r="J78" s="8" t="inlineStr">
        <is>
          <t>Investigación biomédica básica del CSIC. Vía de entrada a proyectos si buscas apoyo científico mientras se abre una plaza clínica.</t>
        </is>
      </c>
    </row>
    <row r="79" ht="45.75" customHeight="1">
      <c r="A79" s="10" t="n">
        <v>3</v>
      </c>
      <c r="B79" s="7" t="inlineStr">
        <is>
          <t>Hospital / Instituto</t>
        </is>
      </c>
      <c r="C79" s="8" t="inlineStr">
        <is>
          <t>ISABIAL — Instituto de Investigación Sanitaria y Biomédica de Alicante</t>
        </is>
      </c>
      <c r="D79" s="7" t="inlineStr">
        <is>
          <t>Alicante</t>
        </is>
      </c>
      <c r="E79" s="8" t="inlineStr">
        <is>
          <t>Study Coordinator; Clinical Research Assistant</t>
        </is>
      </c>
      <c r="F79" s="8" t="n"/>
      <c r="G79" s="8" t="n"/>
      <c r="H79" s="7" t="n"/>
      <c r="I79" s="7" t="inlineStr">
        <is>
          <t>Pendiente</t>
        </is>
      </c>
      <c r="J79" s="8" t="inlineStr">
        <is>
          <t>Instituto del Hospital General Universitario Dr. Balmis y segunda plaza en volumen de ensayos de la Comunitat. Ampliar de Valencia a Alicante es lo mismo que ampliar de Zaragoza a Huesca.</t>
        </is>
      </c>
    </row>
    <row r="80" ht="45.75" customHeight="1">
      <c r="A80" s="10" t="n">
        <v>3</v>
      </c>
      <c r="B80" s="7" t="inlineStr">
        <is>
          <t>Hospital / Instituto</t>
        </is>
      </c>
      <c r="C80" s="8" t="inlineStr">
        <is>
          <t>Fundación Hospital Provincial de Castellón</t>
        </is>
      </c>
      <c r="D80" s="7" t="inlineStr">
        <is>
          <t>Castellón</t>
        </is>
      </c>
      <c r="E80" s="8" t="inlineStr">
        <is>
          <t>Study Coordinator; Research Assistant</t>
        </is>
      </c>
      <c r="F80" s="8" t="n"/>
      <c r="G80" s="8" t="n"/>
      <c r="H80" s="7" t="n"/>
      <c r="I80" s="7" t="inlineStr">
        <is>
          <t>Pendiente</t>
        </is>
      </c>
      <c r="J80" s="8" t="inlineStr">
        <is>
          <t>Centro con investigación oncológica propia y bastante menos competencia que Valencia capital.</t>
        </is>
      </c>
    </row>
    <row r="81" ht="45.75" customHeight="1">
      <c r="A81" s="10" t="n">
        <v>3</v>
      </c>
      <c r="B81" s="7" t="inlineStr">
        <is>
          <t>Hospital / Instituto</t>
        </is>
      </c>
      <c r="C81" s="8" t="inlineStr">
        <is>
          <t>Universitat de València y Universitat Politècnica de València — grupos biomédicos</t>
        </is>
      </c>
      <c r="D81" s="7" t="inlineStr">
        <is>
          <t>Valencia</t>
        </is>
      </c>
      <c r="E81" s="8" t="inlineStr">
        <is>
          <t>Research Assistant; Project Assistant</t>
        </is>
      </c>
      <c r="F81" s="8" t="n"/>
      <c r="G81" s="8" t="n"/>
      <c r="H81" s="7" t="n"/>
      <c r="I81" s="7" t="inlineStr">
        <is>
          <t>Pendiente</t>
        </is>
      </c>
      <c r="J81" s="8" t="inlineStr">
        <is>
          <t>Contacto directo con los PI de oncología, hematología y enfermedades raras. Misma estrategia que con Unizar.</t>
        </is>
      </c>
    </row>
    <row r="82" ht="45.75" customHeight="1">
      <c r="A82" s="10" t="n">
        <v>3</v>
      </c>
      <c r="B82" s="7" t="inlineStr">
        <is>
          <t>Hospital / Instituto</t>
        </is>
      </c>
      <c r="C82" s="8" t="inlineStr">
        <is>
          <t>Quirónsalud Comunitat Valenciana (Hospital Quirónsalud Valencia y centros del grupo)</t>
        </is>
      </c>
      <c r="D82" s="7" t="inlineStr">
        <is>
          <t>Valencia</t>
        </is>
      </c>
      <c r="E82" s="8" t="inlineStr">
        <is>
          <t>Study Coordinator; Clinical Research Assistant</t>
        </is>
      </c>
      <c r="F82" s="8" t="n"/>
      <c r="G82" s="8" t="n"/>
      <c r="H82" s="7" t="n"/>
      <c r="I82" s="7" t="inlineStr">
        <is>
          <t>Pendiente</t>
        </is>
      </c>
      <c r="J82" s="8" t="inlineStr">
        <is>
          <t>Igual que en el norte: usa tu referencia interna de Quirónsalud para que te presenten a los equipos de investigación del grupo en Valencia. Confirma en su web qué centros tiene abiertos en la Comunitat antes de escribir.</t>
        </is>
      </c>
    </row>
    <row r="83" ht="45.75" customHeight="1">
      <c r="A83" s="10" t="n">
        <v>3</v>
      </c>
      <c r="B83" s="7" t="inlineStr">
        <is>
          <t>Hospital / Instituto</t>
        </is>
      </c>
      <c r="C83" s="8" t="inlineStr">
        <is>
          <t>Ribera Salud — Hospital Universitario de La Ribera y red del grupo</t>
        </is>
      </c>
      <c r="D83" s="7" t="inlineStr">
        <is>
          <t>Alzira (Valencia)</t>
        </is>
      </c>
      <c r="E83" s="8" t="inlineStr">
        <is>
          <t>Study Coordinator; Research Assistant</t>
        </is>
      </c>
      <c r="F83" s="8" t="n"/>
      <c r="G83" s="8" t="n"/>
      <c r="H83" s="7" t="n"/>
      <c r="I83" s="7" t="inlineStr">
        <is>
          <t>Pendiente</t>
        </is>
      </c>
      <c r="J83" s="8" t="inlineStr">
        <is>
          <t>Grupo hospitalario con actividad investigadora propia; vía privada complementaria a la pública en la Comunitat.</t>
        </is>
      </c>
    </row>
    <row r="84" ht="45.75" customHeight="1">
      <c r="A84" s="11" t="n">
        <v>4</v>
      </c>
      <c r="B84" s="7" t="inlineStr">
        <is>
          <t>MedTech</t>
        </is>
      </c>
      <c r="C84" s="8" t="inlineStr">
        <is>
          <t>Werfen</t>
        </is>
      </c>
      <c r="D84" s="7" t="inlineStr">
        <is>
          <t>Barcelona</t>
        </is>
      </c>
      <c r="E84" s="8" t="inlineStr">
        <is>
          <t>Clinical Affairs Assistant; Clinical Evaluation Assistant</t>
        </is>
      </c>
      <c r="F84" s="8" t="n"/>
      <c r="G84" s="8" t="n"/>
      <c r="H84" s="7" t="n"/>
      <c r="I84" s="7" t="inlineStr">
        <is>
          <t>Pendiente</t>
        </is>
      </c>
      <c r="J84" s="8" t="inlineStr">
        <is>
          <t>Diagnóstico in vitro; fuerte presencia española y buena entrada a Clinical/Regulatory Affairs.</t>
        </is>
      </c>
    </row>
    <row r="85" ht="45.75" customHeight="1">
      <c r="A85" s="11" t="n">
        <v>4</v>
      </c>
      <c r="B85" s="7" t="inlineStr">
        <is>
          <t>MedTech</t>
        </is>
      </c>
      <c r="C85" s="8" t="inlineStr">
        <is>
          <t>Palex Medical</t>
        </is>
      </c>
      <c r="D85" s="7" t="inlineStr">
        <is>
          <t>Barcelona</t>
        </is>
      </c>
      <c r="E85" s="8" t="inlineStr">
        <is>
          <t>Clinical Affairs Assistant</t>
        </is>
      </c>
      <c r="F85" s="8" t="n"/>
      <c r="G85" s="8" t="n"/>
      <c r="H85" s="7" t="n"/>
      <c r="I85" s="7" t="inlineStr">
        <is>
          <t>Pendiente</t>
        </is>
      </c>
      <c r="J85" s="8" t="inlineStr">
        <is>
          <t>Distribuidora ibérica de tecnología médica, colabora con hospitales españoles.</t>
        </is>
      </c>
    </row>
    <row r="86" ht="45.75" customHeight="1">
      <c r="A86" s="11" t="n">
        <v>4</v>
      </c>
      <c r="B86" s="7" t="inlineStr">
        <is>
          <t>MedTech</t>
        </is>
      </c>
      <c r="C86" s="8" t="inlineStr">
        <is>
          <t>Roche Diagnostics España</t>
        </is>
      </c>
      <c r="D86" s="7" t="inlineStr">
        <is>
          <t>Madrid/Barcelona</t>
        </is>
      </c>
      <c r="E86" s="8" t="inlineStr">
        <is>
          <t>Clinical Affairs Assistant; Scientific Support</t>
        </is>
      </c>
      <c r="F86" s="8" t="n"/>
      <c r="G86" s="8" t="n"/>
      <c r="H86" s="7" t="n"/>
      <c r="I86" s="7" t="inlineStr">
        <is>
          <t>Pendiente</t>
        </is>
      </c>
      <c r="J86" s="8" t="inlineStr">
        <is>
          <t>División de diagnóstico de Roche; sinergia con su unidad farmacéutica de oncología.</t>
        </is>
      </c>
    </row>
    <row r="87" ht="45.75" customHeight="1">
      <c r="A87" s="11" t="n">
        <v>4</v>
      </c>
      <c r="B87" s="7" t="inlineStr">
        <is>
          <t>MedTech</t>
        </is>
      </c>
      <c r="C87" s="8" t="inlineStr">
        <is>
          <t>Becton Dickinson (BD) España</t>
        </is>
      </c>
      <c r="D87" s="7" t="inlineStr">
        <is>
          <t>Madrid</t>
        </is>
      </c>
      <c r="E87" s="8" t="inlineStr">
        <is>
          <t>Clinical Affairs Assistant</t>
        </is>
      </c>
      <c r="F87" s="8" t="n"/>
      <c r="G87" s="8" t="n"/>
      <c r="H87" s="7" t="n"/>
      <c r="I87" s="7" t="inlineStr">
        <is>
          <t>Pendiente</t>
        </is>
      </c>
      <c r="J87" s="8" t="inlineStr">
        <is>
          <t>Dispositivos médicos y diagnóstico; departamentos de Medical/Clinical Affairs.</t>
        </is>
      </c>
    </row>
    <row r="88" ht="45.75" customHeight="1">
      <c r="A88" s="11" t="n">
        <v>4</v>
      </c>
      <c r="B88" s="7" t="inlineStr">
        <is>
          <t>MedTech</t>
        </is>
      </c>
      <c r="C88" s="8" t="inlineStr">
        <is>
          <t>Medtronic Ibérica</t>
        </is>
      </c>
      <c r="D88" s="7" t="inlineStr">
        <is>
          <t>Madrid</t>
        </is>
      </c>
      <c r="E88" s="8" t="inlineStr">
        <is>
          <t>Clinical Research Assistant</t>
        </is>
      </c>
      <c r="F88" s="8" t="n"/>
      <c r="G88" s="8" t="n"/>
      <c r="H88" s="7" t="n"/>
      <c r="I88" s="7" t="inlineStr">
        <is>
          <t>Pendiente</t>
        </is>
      </c>
      <c r="J88" s="8" t="inlineStr">
        <is>
          <t>Ensayos clínicos de dispositivos médicos; procesos de selección estructurados para junior.</t>
        </is>
      </c>
    </row>
    <row r="89" ht="45.75" customHeight="1">
      <c r="A89" s="11" t="n">
        <v>4</v>
      </c>
      <c r="B89" s="7" t="inlineStr">
        <is>
          <t>MedTech</t>
        </is>
      </c>
      <c r="C89" s="8" t="inlineStr">
        <is>
          <t>Siemens Healthineers España</t>
        </is>
      </c>
      <c r="D89" s="7" t="inlineStr">
        <is>
          <t>Madrid</t>
        </is>
      </c>
      <c r="E89" s="8" t="inlineStr">
        <is>
          <t>Clinical Affairs Assistant</t>
        </is>
      </c>
      <c r="F89" s="8" t="n"/>
      <c r="G89" s="8" t="n"/>
      <c r="H89" s="7" t="n"/>
      <c r="I89" s="7" t="inlineStr">
        <is>
          <t>Pendiente</t>
        </is>
      </c>
      <c r="J89" s="8" t="inlineStr">
        <is>
          <t>Imagen médica y diagnóstico; menor volumen de vacantes clínicas puras.</t>
        </is>
      </c>
    </row>
    <row r="90" ht="45.75" customHeight="1">
      <c r="A90" s="11" t="n">
        <v>4</v>
      </c>
      <c r="B90" s="7" t="inlineStr">
        <is>
          <t>MedTech</t>
        </is>
      </c>
      <c r="C90" s="8" t="inlineStr">
        <is>
          <t>Instituto de Biomecánica de Valencia (IBV)</t>
        </is>
      </c>
      <c r="D90" s="7" t="inlineStr">
        <is>
          <t>Valencia (UPV)</t>
        </is>
      </c>
      <c r="E90" s="8" t="inlineStr">
        <is>
          <t>Clinical Evaluation Assistant; Clinical Affairs Assistant; Project Assistant</t>
        </is>
      </c>
      <c r="F90" s="8" t="n"/>
      <c r="G90" s="8" t="n"/>
      <c r="H90" s="7" t="n"/>
      <c r="I90" s="7" t="inlineStr">
        <is>
          <t>Pendiente</t>
        </is>
      </c>
      <c r="J90" s="8" t="inlineStr">
        <is>
          <t>Centro tecnológico que diseña y ejecuta estudios clínicos y evaluaciones clínicas de productos sanitarios bajo MDR. Encaje muy directo si te interesa la rama de Clinical Affairs.</t>
        </is>
      </c>
    </row>
    <row r="91" ht="45.75" customHeight="1">
      <c r="A91" s="11" t="n">
        <v>4</v>
      </c>
      <c r="B91" s="7" t="inlineStr">
        <is>
          <t>MedTech</t>
        </is>
      </c>
      <c r="C91" s="8" t="inlineStr">
        <is>
          <t>GEM Imaging / Oncovision</t>
        </is>
      </c>
      <c r="D91" s="7" t="inlineStr">
        <is>
          <t>Valencia</t>
        </is>
      </c>
      <c r="E91" s="8" t="inlineStr">
        <is>
          <t>Clinical Affairs Assistant; Clinical Research Assistant</t>
        </is>
      </c>
      <c r="F91" s="8" t="n"/>
      <c r="G91" s="8" t="n"/>
      <c r="H91" s="7" t="n"/>
      <c r="I91" s="7" t="inlineStr">
        <is>
          <t>Pendiente</t>
        </is>
      </c>
      <c r="J91" s="8" t="inlineStr">
        <is>
          <t>Fabricante valenciano de equipos de imagen molecular (mamografía PET) que realiza estudios clínicos con hospitales españoles.</t>
        </is>
      </c>
    </row>
    <row r="92" ht="45.75" customHeight="1">
      <c r="A92" s="11" t="n">
        <v>4</v>
      </c>
      <c r="B92" s="7" t="inlineStr">
        <is>
          <t>MedTech</t>
        </is>
      </c>
      <c r="C92" s="8" t="inlineStr">
        <is>
          <t>BTI — Biotechnology Institute</t>
        </is>
      </c>
      <c r="D92" s="7" t="inlineStr">
        <is>
          <t>Vitoria-Gasteiz (Álava, País Vasco)</t>
        </is>
      </c>
      <c r="E92" s="8" t="inlineStr">
        <is>
          <t>Clinical Affairs Assistant; Clinical Research Assistant</t>
        </is>
      </c>
      <c r="F92" s="8" t="n"/>
      <c r="G92" s="8" t="n"/>
      <c r="H92" s="7" t="n"/>
      <c r="I92" s="7" t="inlineStr">
        <is>
          <t>Pendiente</t>
        </is>
      </c>
      <c r="J92" s="8" t="inlineStr">
        <is>
          <t>Biotecnología aplicada a implantes y medicina regenerativa (PRGF), con estudios clínicos propios y departamento regulatorio.</t>
        </is>
      </c>
    </row>
    <row r="93" ht="45.75" customHeight="1">
      <c r="A93" s="11" t="n">
        <v>4</v>
      </c>
      <c r="B93" s="7" t="inlineStr">
        <is>
          <t>MedTech</t>
        </is>
      </c>
      <c r="C93" s="8" t="inlineStr">
        <is>
          <t>Bexen Medical / Bexen Cardio (Grupo Mondragón)</t>
        </is>
      </c>
      <c r="D93" s="7" t="inlineStr">
        <is>
          <t>Ermua (Bizkaia, País Vasco)</t>
        </is>
      </c>
      <c r="E93" s="8" t="inlineStr">
        <is>
          <t>Clinical Affairs Assistant; Regulatory Affairs Assistant</t>
        </is>
      </c>
      <c r="F93" s="8" t="n"/>
      <c r="G93" s="8" t="n"/>
      <c r="H93" s="7" t="n"/>
      <c r="I93" s="7" t="inlineStr">
        <is>
          <t>Pendiente</t>
        </is>
      </c>
      <c r="J93" s="8" t="inlineStr">
        <is>
          <t>Electromedicina y desfibriladores; departamento regulatorio y de evaluación clínica bajo MDR.</t>
        </is>
      </c>
    </row>
    <row r="94" ht="45.75" customHeight="1">
      <c r="A94" s="11" t="n">
        <v>4</v>
      </c>
      <c r="B94" s="7" t="inlineStr">
        <is>
          <t>MedTech</t>
        </is>
      </c>
      <c r="C94" s="8" t="inlineStr">
        <is>
          <t>Tecnalia — área de Salud</t>
        </is>
      </c>
      <c r="D94" s="7" t="inlineStr">
        <is>
          <t>Derio / San Sebastián (País Vasco)</t>
        </is>
      </c>
      <c r="E94" s="8" t="inlineStr">
        <is>
          <t>Project Assistant (proyectos clínicos); Clinical Evaluation Support</t>
        </is>
      </c>
      <c r="F94" s="8" t="n"/>
      <c r="G94" s="8" t="n"/>
      <c r="H94" s="7" t="n"/>
      <c r="I94" s="7" t="inlineStr">
        <is>
          <t>Pendiente</t>
        </is>
      </c>
      <c r="J94" s="8" t="inlineStr">
        <is>
          <t>Mayor centro tecnológico privado de España, con proyectos de salud desarrollados junto a hospitales de Osakidetza.</t>
        </is>
      </c>
    </row>
    <row r="95" ht="45.75" customHeight="1">
      <c r="A95" s="11" t="n">
        <v>4</v>
      </c>
      <c r="B95" s="7" t="inlineStr">
        <is>
          <t>MedTech</t>
        </is>
      </c>
      <c r="C95" s="8" t="inlineStr">
        <is>
          <t>Viscofan BioEngineering</t>
        </is>
      </c>
      <c r="D95" s="7" t="inlineStr">
        <is>
          <t>Tajonar / Cáseda (Navarra)</t>
        </is>
      </c>
      <c r="E95" s="8" t="inlineStr">
        <is>
          <t>Clinical Affairs Assistant; Regulatory Affairs Assistant</t>
        </is>
      </c>
      <c r="F95" s="8" t="n"/>
      <c r="G95" s="8" t="n"/>
      <c r="H95" s="7" t="n"/>
      <c r="I95" s="7" t="inlineStr">
        <is>
          <t>Pendiente</t>
        </is>
      </c>
      <c r="J95" s="8" t="inlineStr">
        <is>
          <t>División de productos sanitarios de colágeno del grupo Viscofan: documentación técnica y evaluación clínica MDR. Poca competencia local para este perfil.</t>
        </is>
      </c>
    </row>
    <row r="96" ht="45.75" customHeight="1">
      <c r="A96" s="12" t="n">
        <v>5</v>
      </c>
      <c r="B96" s="7" t="inlineStr">
        <is>
          <t>Puente</t>
        </is>
      </c>
      <c r="C96" s="8" t="inlineStr">
        <is>
          <t>ProductLife Group</t>
        </is>
      </c>
      <c r="D96" s="7" t="inlineStr">
        <is>
          <t>Madrid / Remoto</t>
        </is>
      </c>
      <c r="E96" s="8" t="inlineStr">
        <is>
          <t>Regulatory Affairs Assistant; Quality Assistant</t>
        </is>
      </c>
      <c r="F96" s="8" t="n"/>
      <c r="G96" s="8" t="n"/>
      <c r="H96" s="7" t="n"/>
      <c r="I96" s="7" t="inlineStr">
        <is>
          <t>Pendiente</t>
        </is>
      </c>
      <c r="J96" s="8" t="inlineStr">
        <is>
          <t>Consultora de Regulatory/Quality para la industria farmacéutica; puede llevar a Clinical Operations.</t>
        </is>
      </c>
    </row>
    <row r="97" ht="45.75" customHeight="1">
      <c r="A97" s="12" t="n">
        <v>5</v>
      </c>
      <c r="B97" s="7" t="inlineStr">
        <is>
          <t>Puente</t>
        </is>
      </c>
      <c r="C97" s="8" t="inlineStr">
        <is>
          <t>Alira Health</t>
        </is>
      </c>
      <c r="D97" s="7" t="inlineStr">
        <is>
          <t>Barcelona / Remoto</t>
        </is>
      </c>
      <c r="E97" s="8" t="inlineStr">
        <is>
          <t>Clinical Data Assistant; Project Coordinator</t>
        </is>
      </c>
      <c r="F97" s="8" t="n"/>
      <c r="G97" s="8" t="n"/>
      <c r="H97" s="7" t="n"/>
      <c r="I97" s="7" t="inlineStr">
        <is>
          <t>Pendiente</t>
        </is>
      </c>
      <c r="J97" s="8" t="inlineStr">
        <is>
          <t>Consultora de ciencias de la vida con línea de Clinical Operations.</t>
        </is>
      </c>
    </row>
    <row r="98" ht="45.75" customHeight="1">
      <c r="A98" s="12" t="n">
        <v>5</v>
      </c>
      <c r="B98" s="7" t="inlineStr">
        <is>
          <t>Puente</t>
        </is>
      </c>
      <c r="C98" s="8" t="inlineStr">
        <is>
          <t>NTT DATA / everis — Life Sciences</t>
        </is>
      </c>
      <c r="D98" s="7" t="inlineStr">
        <is>
          <t>Madrid / Zaragoza / Remoto</t>
        </is>
      </c>
      <c r="E98" s="8" t="inlineStr">
        <is>
          <t>Document Control; Project Coordinator (Life Sciences)</t>
        </is>
      </c>
      <c r="F98" s="8" t="n"/>
      <c r="G98" s="8" t="n"/>
      <c r="H98" s="7" t="n"/>
      <c r="I98" s="7" t="inlineStr">
        <is>
          <t>Pendiente</t>
        </is>
      </c>
      <c r="J98" s="8" t="inlineStr">
        <is>
          <t>Consultora con delegación en Zaragoza; unidad de Life Sciences y Salud.</t>
        </is>
      </c>
    </row>
    <row r="99" ht="45.75" customHeight="1">
      <c r="A99" s="12" t="n">
        <v>5</v>
      </c>
      <c r="B99" s="7" t="inlineStr">
        <is>
          <t>Puente</t>
        </is>
      </c>
      <c r="C99" s="8" t="inlineStr">
        <is>
          <t>Idifarma Desarrollo Farmacéutico</t>
        </is>
      </c>
      <c r="D99" s="7" t="inlineStr">
        <is>
          <t>Noáin (Navarra)</t>
        </is>
      </c>
      <c r="E99" s="8" t="inlineStr">
        <is>
          <t>Regulatory Affairs Assistant; QA Assistant; Clinical Supply Coordinator</t>
        </is>
      </c>
      <c r="F99" s="8" t="n"/>
      <c r="G99" s="8" t="n"/>
      <c r="H99" s="7" t="n"/>
      <c r="I99" s="7" t="inlineStr">
        <is>
          <t>Pendiente</t>
        </is>
      </c>
      <c r="J99" s="8" t="inlineStr">
        <is>
          <t>CDMO navarra especializada en fabricar medicamentos para ensayos clínicos y medicamentos huérfanos. Puente natural hacia Clinical Operations sin salir de Navarra.</t>
        </is>
      </c>
    </row>
    <row r="100" ht="45.75" customHeight="1">
      <c r="A100" s="12" t="n">
        <v>5</v>
      </c>
      <c r="B100" s="7" t="inlineStr">
        <is>
          <t>Puente</t>
        </is>
      </c>
      <c r="C100" s="8" t="inlineStr">
        <is>
          <t>NTT DATA / Accenture / Indra — Life Sciences (delegaciones del norte y Levante)</t>
        </is>
      </c>
      <c r="D100" s="7" t="inlineStr">
        <is>
          <t>Bilbao / Pamplona / Valencia / Remoto</t>
        </is>
      </c>
      <c r="E100" s="8" t="inlineStr">
        <is>
          <t>Document Control; Project Coordinator (Life Sciences); Clinical Data Assistant</t>
        </is>
      </c>
      <c r="F100" s="8" t="n"/>
      <c r="G100" s="8" t="n"/>
      <c r="H100" s="7" t="n"/>
      <c r="I100" s="7" t="inlineStr">
        <is>
          <t>Pendiente</t>
        </is>
      </c>
      <c r="J100" s="8" t="inlineStr">
        <is>
          <t>Las consultoras que ya tienes en la lista tienen delegación en estas plazas. Si te ofrecen un puesto puente, pide expresamente proyecto de Life Sciences o Salud: es lo que después te sirve en el CV.</t>
        </is>
      </c>
    </row>
    <row r="101" ht="45.75" customHeight="1">
      <c r="A101" s="12" t="n">
        <v>5</v>
      </c>
      <c r="B101" s="7" t="inlineStr">
        <is>
          <t>Puente</t>
        </is>
      </c>
      <c r="C101" s="8" t="inlineStr">
        <is>
          <t>Navarra Health Cluster (Clúster de Salud de Navarra)</t>
        </is>
      </c>
      <c r="D101" s="7" t="inlineStr">
        <is>
          <t>Pamplona (Navarra)</t>
        </is>
      </c>
      <c r="E101" s="8" t="inlineStr">
        <is>
          <t>Networking / directorio de socios (no es un empleador)</t>
        </is>
      </c>
      <c r="F101" s="8" t="n"/>
      <c r="G101" s="8" t="n"/>
      <c r="H101" s="7" t="n"/>
      <c r="I101" s="7" t="inlineStr">
        <is>
          <t>Pendiente</t>
        </is>
      </c>
      <c r="J101" s="8" t="inlineStr">
        <is>
          <t>No contrata: es el directorio de todo el ecosistema sanitario navarro (CIMA, CUN, Navarrabiomed, Cinfa, 3P, Idifarma...). Úsalo para localizar empresas y personas antes de escribir, y apúntate a sus eventos.</t>
        </is>
      </c>
    </row>
    <row r="102" ht="45.75" customHeight="1">
      <c r="A102" s="12" t="n">
        <v>5</v>
      </c>
      <c r="B102" s="7" t="inlineStr">
        <is>
          <t>Puente</t>
        </is>
      </c>
      <c r="C102" s="8" t="inlineStr">
        <is>
          <t>Basque Health Cluster</t>
        </is>
      </c>
      <c r="D102" s="7" t="inlineStr">
        <is>
          <t>Zamudio / Bilbao (País Vasco)</t>
        </is>
      </c>
      <c r="E102" s="8" t="inlineStr">
        <is>
          <t>Networking / directorio de socios (no es un empleador)</t>
        </is>
      </c>
      <c r="F102" s="8" t="n"/>
      <c r="G102" s="8" t="n"/>
      <c r="H102" s="7" t="n"/>
      <c r="I102" s="7" t="inlineStr">
        <is>
          <t>Pendiente</t>
        </is>
      </c>
      <c r="J102" s="8" t="inlineStr">
        <is>
          <t>Lo mismo para Euskadi: reúne hospitales, Osakidetza, CROs y medtech vascas. Sus jornadas son la vía más rápida de conocer gente del sector sin pasar por un portal de empleo.</t>
        </is>
      </c>
    </row>
    <row r="103" ht="45.75" customHeight="1">
      <c r="A103" s="12" t="n">
        <v>5</v>
      </c>
      <c r="B103" s="7" t="inlineStr">
        <is>
          <t>Puente</t>
        </is>
      </c>
      <c r="C103" s="8" t="inlineStr">
        <is>
          <t>BIOVAL — Bioregión de la Comunitat Valenciana / Parc Científic de la Universitat de València</t>
        </is>
      </c>
      <c r="D103" s="7" t="inlineStr">
        <is>
          <t>Valencia / Paterna</t>
        </is>
      </c>
      <c r="E103" s="8" t="inlineStr">
        <is>
          <t>Networking / directorio de socios (no es un empleador)</t>
        </is>
      </c>
      <c r="F103" s="8" t="n"/>
      <c r="G103" s="8" t="n"/>
      <c r="H103" s="7" t="n"/>
      <c r="I103" s="7" t="inlineStr">
        <is>
          <t>Pendiente</t>
        </is>
      </c>
      <c r="J103" s="8" t="inlineStr">
        <is>
          <t>Agrupa a las biotecnológicas valencianas (Igenomix, Ascires, Imegen, Bionos...), buena parte de ellas concentradas en el Parc Científic de Paterna. Directorio ideal para tu ronda semanal de 5 empresas nuevas.</t>
        </is>
      </c>
    </row>
  </sheetData>
  <autoFilter ref="A1:J103"/>
  <conditionalFormatting sqref="I2:I103">
    <cfRule type="expression" priority="2" dxfId="6">
      <formula>$I2="Pendiente"</formula>
    </cfRule>
    <cfRule type="expression" priority="3" dxfId="5">
      <formula>$I2="Investigando"</formula>
    </cfRule>
    <cfRule type="expression" priority="4" dxfId="4">
      <formula>$I2="Contactada"</formula>
    </cfRule>
    <cfRule type="expression" priority="5" dxfId="3">
      <formula>$I2="Aplicada"</formula>
    </cfRule>
    <cfRule type="expression" priority="6" dxfId="2">
      <formula>$I2="Entrevista"</formula>
    </cfRule>
    <cfRule type="expression" priority="7" dxfId="1">
      <formula>$I2="Descartada"</formula>
    </cfRule>
    <cfRule type="expression" priority="8" dxfId="0">
      <formula>$I2="Contratada"</formula>
    </cfRule>
  </conditionalFormatting>
  <dataValidations count="2">
    <dataValidation sqref="I2:I103" showDropDown="0" showInputMessage="0" showErrorMessage="0" allowBlank="1" type="list">
      <formula1>"Pendiente,Investigando,Contactada,Aplicada,Entrevista,Descartada,Contratada"</formula1>
      <formula2>0</formula2>
    </dataValidation>
    <dataValidation sqref="A2:A103" showDropDown="0" showInputMessage="0" showErrorMessage="0" allowBlank="1" type="list">
      <formula1>"1,2,3,4,5"</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2:E23"/>
  <sheetViews>
    <sheetView showGridLines="0" topLeftCell="B1" zoomScaleNormal="100" workbookViewId="0">
      <selection activeCell="A1" sqref="A1"/>
    </sheetView>
  </sheetViews>
  <sheetFormatPr baseColWidth="8" defaultColWidth="8.7421875" defaultRowHeight="15"/>
  <cols>
    <col width="25.9609375" customWidth="1" min="1" max="1"/>
    <col width="13.98828125" customWidth="1" min="2" max="2"/>
    <col width="4.03515625" customWidth="1" min="3" max="3"/>
    <col width="25.9609375" customWidth="1" min="4" max="4"/>
    <col width="13.98828125" customWidth="1" min="5" max="5"/>
  </cols>
  <sheetData>
    <row r="2" ht="20.25" customHeight="1">
      <c r="A2" s="1" t="inlineStr">
        <is>
          <t>Dashboard del Pipeline</t>
        </is>
      </c>
    </row>
    <row r="3">
      <c r="A3" s="2" t="inlineStr">
        <is>
          <t>Se actualiza automáticamente según lo que rellenes en la pestaña 'Pipeline'.</t>
        </is>
      </c>
    </row>
    <row r="5">
      <c r="A5" s="13" t="inlineStr">
        <is>
          <t>Por estado</t>
        </is>
      </c>
      <c r="B5" s="13" t="inlineStr">
        <is>
          <t>Nº empresas</t>
        </is>
      </c>
      <c r="D5" s="14" t="inlineStr">
        <is>
          <t>Por categoría</t>
        </is>
      </c>
      <c r="E5" s="14" t="inlineStr">
        <is>
          <t>Nº empresas</t>
        </is>
      </c>
    </row>
    <row r="6">
      <c r="A6" s="15" t="inlineStr">
        <is>
          <t>Pendiente</t>
        </is>
      </c>
      <c r="B6" s="7">
        <f>COUNTIF(Pipeline!$I$2:$I$103,A6)</f>
        <v>102</v>
      </c>
      <c r="D6" s="15" t="inlineStr">
        <is>
          <t>CRO</t>
        </is>
      </c>
      <c r="E6" s="7">
        <f>COUNTIF(Pipeline!$B$2:$B$103,D6)</f>
        <v>16</v>
      </c>
    </row>
    <row r="7">
      <c r="A7" s="15" t="inlineStr">
        <is>
          <t>Investigando</t>
        </is>
      </c>
      <c r="B7" s="7">
        <f>COUNTIF(Pipeline!$I$2:$I$103,A7)</f>
        <v>0</v>
      </c>
      <c r="D7" s="15" t="inlineStr">
        <is>
          <t>Pharma/Biotech</t>
        </is>
      </c>
      <c r="E7" s="7">
        <f>COUNTIF(Pipeline!$B$2:$B$103,D7)</f>
        <v>21</v>
      </c>
    </row>
    <row r="8">
      <c r="A8" s="15" t="inlineStr">
        <is>
          <t>Contactada</t>
        </is>
      </c>
      <c r="B8" s="7">
        <f>COUNTIF(Pipeline!$I$2:$I$103,A8)</f>
        <v>0</v>
      </c>
      <c r="D8" s="15" t="inlineStr">
        <is>
          <t>Hospital / Instituto</t>
        </is>
      </c>
      <c r="E8" s="7">
        <f>COUNTIF(Pipeline!$B$2:$B$103,D8)</f>
        <v>45</v>
      </c>
    </row>
    <row r="9">
      <c r="A9" s="15" t="inlineStr">
        <is>
          <t>Aplicada</t>
        </is>
      </c>
      <c r="B9" s="7">
        <f>COUNTIF(Pipeline!$I$2:$I$103,A9)</f>
        <v>0</v>
      </c>
      <c r="D9" s="15" t="inlineStr">
        <is>
          <t>MedTech</t>
        </is>
      </c>
      <c r="E9" s="7">
        <f>COUNTIF(Pipeline!$B$2:$B$103,D9)</f>
        <v>12</v>
      </c>
    </row>
    <row r="10">
      <c r="A10" s="15" t="inlineStr">
        <is>
          <t>Entrevista</t>
        </is>
      </c>
      <c r="B10" s="7">
        <f>COUNTIF(Pipeline!$I$2:$I$103,A10)</f>
        <v>0</v>
      </c>
      <c r="D10" s="15" t="inlineStr">
        <is>
          <t>Puente</t>
        </is>
      </c>
      <c r="E10" s="7">
        <f>COUNTIF(Pipeline!$B$2:$B$103,D10)</f>
        <v>8</v>
      </c>
    </row>
    <row r="11">
      <c r="A11" s="15" t="inlineStr">
        <is>
          <t>Descartada</t>
        </is>
      </c>
      <c r="B11" s="7">
        <f>COUNTIF(Pipeline!$I$2:$I$103,A11)</f>
        <v>0</v>
      </c>
    </row>
    <row r="12">
      <c r="A12" s="15" t="inlineStr">
        <is>
          <t>Contratada</t>
        </is>
      </c>
      <c r="B12" s="7">
        <f>COUNTIF(Pipeline!$I$2:$I$103,A12)</f>
        <v>0</v>
      </c>
      <c r="D12" s="16" t="inlineStr">
        <is>
          <t>Candidaturas enviadas (Aplicada+)</t>
        </is>
      </c>
      <c r="E12" s="17">
        <f>COUNTIF(Pipeline!$I$2:$I$103,"Aplicada")+COUNTIF(Pipeline!$I$2:$I$103,"Entrevista")+COUNTIF(Pipeline!$I$2:$I$103,"Contratada")</f>
        <v>0</v>
      </c>
    </row>
    <row r="13">
      <c r="A13" s="16" t="inlineStr">
        <is>
          <t>TOTAL empresas en el pipeline</t>
        </is>
      </c>
      <c r="B13" s="17">
        <f>COUNTA(Pipeline!$C$2:$C$103)</f>
        <v>102</v>
      </c>
    </row>
    <row r="15">
      <c r="A15" s="13" t="inlineStr">
        <is>
          <t>Por región objetivo</t>
        </is>
      </c>
      <c r="B15" s="13" t="inlineStr">
        <is>
          <t>Nº empresas</t>
        </is>
      </c>
    </row>
    <row r="16">
      <c r="A16" s="15" t="inlineStr">
        <is>
          <t>Aragón (Zaragoza / Huesca / Teruel)</t>
        </is>
      </c>
      <c r="B16" s="7">
        <f>COUNTIF(Pipeline!$D$2:$D$103,"*Zaragoza*")+COUNTIF(Pipeline!$D$2:$D$103,"*Huesca*")+COUNTIF(Pipeline!$D$2:$D$103,"*Teruel*")</f>
        <v>10</v>
      </c>
    </row>
    <row r="17">
      <c r="A17" s="15" t="inlineStr">
        <is>
          <t>Navarra</t>
        </is>
      </c>
      <c r="B17" s="7">
        <f>COUNTIF(Pipeline!$D$2:$D$103,"*Navarra*")</f>
        <v>13</v>
      </c>
    </row>
    <row r="18">
      <c r="A18" s="15" t="inlineStr">
        <is>
          <t>País Vasco</t>
        </is>
      </c>
      <c r="B18" s="7">
        <f>COUNTIF(Pipeline!$D$2:$D$103,"*País Vasco*")</f>
        <v>19</v>
      </c>
    </row>
    <row r="19">
      <c r="A19" s="15" t="inlineStr">
        <is>
          <t>La Rioja</t>
        </is>
      </c>
      <c r="B19" s="7">
        <f>COUNTIF(Pipeline!$D$2:$D$103,"*La Rioja*")</f>
        <v>8</v>
      </c>
    </row>
    <row r="20">
      <c r="A20" s="15" t="inlineStr">
        <is>
          <t>Comunitat Valenciana</t>
        </is>
      </c>
      <c r="B20" s="7">
        <f>COUNTIF(Pipeline!$D$2:$D$103,"*Valencia*")+COUNTIF(Pipeline!$D$2:$D$103,"*Alicante*")+COUNTIF(Pipeline!$D$2:$D$103,"*Castellón*")</f>
        <v>22</v>
      </c>
    </row>
    <row r="21">
      <c r="A21" s="15" t="inlineStr">
        <is>
          <t>Madrid / Barcelona / Remoto (cobertura nacional)</t>
        </is>
      </c>
      <c r="B21" s="7">
        <f>COUNTIF(Pipeline!$D$2:$D$103,"*Madrid*")+COUNTIF(Pipeline!$D$2:$D$103,"*Barcelona*")+COUNTIF(Pipeline!$D$2:$D$103,"*Remoto*")+COUNTIF(Pipeline!$D$2:$D$103,"*España*")</f>
        <v>49</v>
      </c>
    </row>
    <row r="23">
      <c r="A23" s="2" t="inlineStr">
        <is>
          <t>Nota: el bloque «Por región» cuenta coincidencias de texto en la columna «Ciudad» del Pipeline. Una empresa con varias sedes (p. ej. «Bilbao / Pamplona / Valencia / Remoto») suma en más de una región, así que estos totales no cuadran con el total de empresas — son un mapa de cobertura, no un recuento exclusivo.</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2:G17"/>
  <sheetViews>
    <sheetView showGridLines="0" zoomScaleNormal="100" workbookViewId="0">
      <selection activeCell="A1" sqref="A1"/>
    </sheetView>
  </sheetViews>
  <sheetFormatPr baseColWidth="8" defaultColWidth="8.7421875" defaultRowHeight="15"/>
  <cols>
    <col width="13.98828125" customWidth="1" min="1" max="1"/>
    <col width="16.0078125" customWidth="1" min="2" max="2"/>
    <col width="13.98828125" customWidth="1" min="3" max="3"/>
    <col width="18.0234375" customWidth="1" min="4" max="4"/>
    <col width="20.04296875" customWidth="1" min="5" max="6"/>
    <col width="29.99609375" customWidth="1" min="7" max="7"/>
  </cols>
  <sheetData>
    <row r="2" ht="20.25" customHeight="1">
      <c r="A2" s="1" t="inlineStr">
        <is>
          <t>Seguimiento semanal</t>
        </is>
      </c>
    </row>
    <row r="3">
      <c r="A3" s="2" t="inlineStr">
        <is>
          <t>Ritmo objetivo: 5 empresas nuevas · 5 contactos · 3–5 candidaturas de calidad · 2–3 entrevistas simuladas en inglés · 1 mejora del perfil.</t>
        </is>
      </c>
    </row>
    <row r="5" ht="30" customHeight="1">
      <c r="A5" s="5" t="inlineStr">
        <is>
          <t>Semana (fecha)</t>
        </is>
      </c>
      <c r="B5" s="5" t="inlineStr">
        <is>
          <t>Empresas nuevas</t>
        </is>
      </c>
      <c r="C5" s="5" t="inlineStr">
        <is>
          <t>Contactos realizados</t>
        </is>
      </c>
      <c r="D5" s="5" t="inlineStr">
        <is>
          <t>Candidaturas enviadas</t>
        </is>
      </c>
      <c r="E5" s="5" t="inlineStr">
        <is>
          <t>Entrevistas practicadas (EN)</t>
        </is>
      </c>
      <c r="F5" s="5" t="inlineStr">
        <is>
          <t>Mejora de perfil realizada</t>
        </is>
      </c>
      <c r="G5" s="5" t="inlineStr">
        <is>
          <t>Notas / aprendizajes</t>
        </is>
      </c>
    </row>
    <row r="6" ht="21.75" customHeight="1">
      <c r="A6" s="7" t="n"/>
      <c r="B6" s="7" t="n"/>
      <c r="C6" s="7" t="n"/>
      <c r="D6" s="7" t="n"/>
      <c r="E6" s="7" t="n"/>
      <c r="F6" s="7" t="n"/>
      <c r="G6" s="8" t="n"/>
    </row>
    <row r="7" ht="21.75" customHeight="1">
      <c r="A7" s="7" t="n"/>
      <c r="B7" s="7" t="n"/>
      <c r="C7" s="7" t="n"/>
      <c r="D7" s="7" t="n"/>
      <c r="E7" s="7" t="n"/>
      <c r="F7" s="7" t="n"/>
      <c r="G7" s="8" t="n"/>
    </row>
    <row r="8" ht="21.75" customHeight="1">
      <c r="A8" s="7" t="n"/>
      <c r="B8" s="7" t="n"/>
      <c r="C8" s="7" t="n"/>
      <c r="D8" s="7" t="n"/>
      <c r="E8" s="7" t="n"/>
      <c r="F8" s="7" t="n"/>
      <c r="G8" s="8" t="n"/>
    </row>
    <row r="9" ht="21.75" customHeight="1">
      <c r="A9" s="7" t="n"/>
      <c r="B9" s="7" t="n"/>
      <c r="C9" s="7" t="n"/>
      <c r="D9" s="7" t="n"/>
      <c r="E9" s="7" t="n"/>
      <c r="F9" s="7" t="n"/>
      <c r="G9" s="8" t="n"/>
    </row>
    <row r="10" ht="21.75" customHeight="1">
      <c r="A10" s="7" t="n"/>
      <c r="B10" s="7" t="n"/>
      <c r="C10" s="7" t="n"/>
      <c r="D10" s="7" t="n"/>
      <c r="E10" s="7" t="n"/>
      <c r="F10" s="7" t="n"/>
      <c r="G10" s="8" t="n"/>
    </row>
    <row r="11" ht="21.75" customHeight="1">
      <c r="A11" s="7" t="n"/>
      <c r="B11" s="7" t="n"/>
      <c r="C11" s="7" t="n"/>
      <c r="D11" s="7" t="n"/>
      <c r="E11" s="7" t="n"/>
      <c r="F11" s="7" t="n"/>
      <c r="G11" s="8" t="n"/>
    </row>
    <row r="12" ht="21.75" customHeight="1">
      <c r="A12" s="7" t="n"/>
      <c r="B12" s="7" t="n"/>
      <c r="C12" s="7" t="n"/>
      <c r="D12" s="7" t="n"/>
      <c r="E12" s="7" t="n"/>
      <c r="F12" s="7" t="n"/>
      <c r="G12" s="8" t="n"/>
    </row>
    <row r="13" ht="21.75" customHeight="1">
      <c r="A13" s="7" t="n"/>
      <c r="B13" s="7" t="n"/>
      <c r="C13" s="7" t="n"/>
      <c r="D13" s="7" t="n"/>
      <c r="E13" s="7" t="n"/>
      <c r="F13" s="7" t="n"/>
      <c r="G13" s="8" t="n"/>
    </row>
    <row r="14" ht="21.75" customHeight="1">
      <c r="A14" s="7" t="n"/>
      <c r="B14" s="7" t="n"/>
      <c r="C14" s="7" t="n"/>
      <c r="D14" s="7" t="n"/>
      <c r="E14" s="7" t="n"/>
      <c r="F14" s="7" t="n"/>
      <c r="G14" s="8" t="n"/>
    </row>
    <row r="15" ht="21.75" customHeight="1">
      <c r="A15" s="7" t="n"/>
      <c r="B15" s="7" t="n"/>
      <c r="C15" s="7" t="n"/>
      <c r="D15" s="7" t="n"/>
      <c r="E15" s="7" t="n"/>
      <c r="F15" s="7" t="n"/>
      <c r="G15" s="8" t="n"/>
    </row>
    <row r="16" ht="21.75" customHeight="1">
      <c r="A16" s="7" t="n"/>
      <c r="B16" s="7" t="n"/>
      <c r="C16" s="7" t="n"/>
      <c r="D16" s="7" t="n"/>
      <c r="E16" s="7" t="n"/>
      <c r="F16" s="7" t="n"/>
      <c r="G16" s="8" t="n"/>
    </row>
    <row r="17" ht="21.75" customHeight="1">
      <c r="A17" s="7" t="n"/>
      <c r="B17" s="7" t="n"/>
      <c r="C17" s="7" t="n"/>
      <c r="D17" s="7" t="n"/>
      <c r="E17" s="7" t="n"/>
      <c r="F17" s="7" t="n"/>
      <c r="G17" s="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2026-09-02T17:26:24Z</dcterms:created>
  <dcterms:modified xsi:type="dcterms:W3CDTF">2026-09-03T05:17:21Z</dcterms:modified>
  <cp:revision>0</cp:revision>
</cp:coreProperties>
</file>